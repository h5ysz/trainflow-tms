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aserSalemAl-Zahrani\Downloads\"/>
    </mc:Choice>
  </mc:AlternateContent>
  <xr:revisionPtr revIDLastSave="0" documentId="13_ncr:1_{6DAA7B53-1219-4854-ABFF-A4DE2CEC8434}" xr6:coauthVersionLast="47" xr6:coauthVersionMax="47" xr10:uidLastSave="{00000000-0000-0000-0000-000000000000}"/>
  <bookViews>
    <workbookView xWindow="-110" yWindow="-110" windowWidth="19420" windowHeight="11500" activeTab="1" xr2:uid="{3BEC82A1-6186-483D-9FE0-217D9207C539}"/>
  </bookViews>
  <sheets>
    <sheet name="OHS 1" sheetId="4" r:id="rId1"/>
    <sheet name="Inputs" sheetId="74" r:id="rId2"/>
    <sheet name="Input" sheetId="3" r:id="rId3"/>
  </sheets>
  <definedNames>
    <definedName name="_xlnm._FilterDatabase" localSheetId="1" hidden="1">Inputs!$A$1:$AF$12</definedName>
    <definedName name="_xlnm._FilterDatabase" localSheetId="0" hidden="1">'OHS 1'!$A$1:$AF$28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4" l="1" a="1"/>
  <c r="AF4" i="4" s="1"/>
  <c r="AF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<sst xmlns="http://schemas.openxmlformats.org/spreadsheetml/2006/main" count="500" uniqueCount="243">
  <si>
    <t>Amer Fahad Alzeer</t>
  </si>
  <si>
    <t>Safety Certification Courses</t>
  </si>
  <si>
    <t>Duration (Day)</t>
  </si>
  <si>
    <t xml:space="preserve">MORNING </t>
  </si>
  <si>
    <t>Jazan</t>
  </si>
  <si>
    <t>SAUDI  ARABIA</t>
  </si>
  <si>
    <t>PASS</t>
  </si>
  <si>
    <t>ABSENT</t>
  </si>
  <si>
    <t>#</t>
  </si>
  <si>
    <t>CODE</t>
  </si>
  <si>
    <t>Trainer</t>
  </si>
  <si>
    <t>Location</t>
  </si>
  <si>
    <t>Session</t>
  </si>
  <si>
    <t>Asigned by</t>
  </si>
  <si>
    <t>Syria</t>
  </si>
  <si>
    <t>Status</t>
  </si>
  <si>
    <t>Comments</t>
  </si>
  <si>
    <t>City</t>
  </si>
  <si>
    <t>CSCC00</t>
  </si>
  <si>
    <t>OHS General Induction</t>
  </si>
  <si>
    <t>Morning</t>
  </si>
  <si>
    <t>Nawaf A. Almathami</t>
  </si>
  <si>
    <t>Sudan</t>
  </si>
  <si>
    <t>Pass</t>
  </si>
  <si>
    <t>Re-Test</t>
  </si>
  <si>
    <t>Hail</t>
  </si>
  <si>
    <t>CSCC01</t>
  </si>
  <si>
    <t>Hazard Identification &amp; Risk Assessment</t>
  </si>
  <si>
    <t>Mohamed Shaaban El-Gendy</t>
  </si>
  <si>
    <t>Evening</t>
  </si>
  <si>
    <t>Tarfah Alfuwayris</t>
  </si>
  <si>
    <t>Saudi Arabia</t>
  </si>
  <si>
    <t>Fail</t>
  </si>
  <si>
    <t>Absent</t>
  </si>
  <si>
    <t>Jeddah</t>
  </si>
  <si>
    <t>CSCC02</t>
  </si>
  <si>
    <t>Safe working Procedures for Electrical</t>
  </si>
  <si>
    <t>Abdullah Hamed Abukuwamil</t>
  </si>
  <si>
    <t>Qassim</t>
  </si>
  <si>
    <t xml:space="preserve">Abdulaziz Bubshait </t>
  </si>
  <si>
    <t>Bangladesh</t>
  </si>
  <si>
    <t>Added new</t>
  </si>
  <si>
    <t>Dammam</t>
  </si>
  <si>
    <t>CSCC03</t>
  </si>
  <si>
    <t>Safe working Procedures for Mechanical</t>
  </si>
  <si>
    <t>Faisal Al Hashani</t>
  </si>
  <si>
    <t xml:space="preserve">Renad Al-Shehri </t>
  </si>
  <si>
    <t>Egypt</t>
  </si>
  <si>
    <t>Iqama N/A</t>
  </si>
  <si>
    <t>Riyadh</t>
  </si>
  <si>
    <t>CSCC05</t>
  </si>
  <si>
    <t>National Grid Safety Rules, Qualification &amp; Authorization</t>
  </si>
  <si>
    <t>Zeeshan Khan</t>
  </si>
  <si>
    <t>Hafr Al Batin</t>
  </si>
  <si>
    <t>India</t>
  </si>
  <si>
    <t>OHS N/A</t>
  </si>
  <si>
    <t>CSCC09</t>
  </si>
  <si>
    <t>OHS General Induction including Office Safety</t>
  </si>
  <si>
    <t>Maher M. Aldughaim</t>
  </si>
  <si>
    <t>Al Jouf</t>
  </si>
  <si>
    <t>Nada Al Battat</t>
  </si>
  <si>
    <t>Pakistan</t>
  </si>
  <si>
    <t>Al Kharj</t>
  </si>
  <si>
    <t>CSCC10</t>
  </si>
  <si>
    <t>Construction Safety</t>
  </si>
  <si>
    <t>Saeed Abdulrahim Nagro</t>
  </si>
  <si>
    <t>Qariyat</t>
  </si>
  <si>
    <t>Palestine</t>
  </si>
  <si>
    <t>Najran</t>
  </si>
  <si>
    <t>CSCC11</t>
  </si>
  <si>
    <t>Work at Heights (Fall Protection Program)</t>
  </si>
  <si>
    <t>Yousuf Mohammadi</t>
  </si>
  <si>
    <t>Philippines</t>
  </si>
  <si>
    <t>CSCC12</t>
  </si>
  <si>
    <t>Scaffold Inspector</t>
  </si>
  <si>
    <t>Fahad Alshehri</t>
  </si>
  <si>
    <t>Taif</t>
  </si>
  <si>
    <t>Canada</t>
  </si>
  <si>
    <t>Arar</t>
  </si>
  <si>
    <t>CSCC13</t>
  </si>
  <si>
    <t>OHS Representative</t>
  </si>
  <si>
    <t>Ibrahim Alhezam</t>
  </si>
  <si>
    <t>Jordan</t>
  </si>
  <si>
    <t>Sakaka</t>
  </si>
  <si>
    <t>CSCC14</t>
  </si>
  <si>
    <t>Work Permit - Sender &amp; Receiver</t>
  </si>
  <si>
    <t xml:space="preserve">Ahmed Ghazai Alsulami </t>
  </si>
  <si>
    <t>Madinah</t>
  </si>
  <si>
    <t>Lebonan</t>
  </si>
  <si>
    <t>Tabuk</t>
  </si>
  <si>
    <t>CSCC15</t>
  </si>
  <si>
    <t>Lock Out Tag Out  (LOTO) Procedures</t>
  </si>
  <si>
    <t>Musaab Alageb</t>
  </si>
  <si>
    <t>Nepal</t>
  </si>
  <si>
    <t>Khafji</t>
  </si>
  <si>
    <t>CSCC18</t>
  </si>
  <si>
    <t>Excavation Safety</t>
  </si>
  <si>
    <t>Yaser Salem Alzahrani</t>
  </si>
  <si>
    <t>Abha</t>
  </si>
  <si>
    <t>Tunis</t>
  </si>
  <si>
    <t>CSCC19</t>
  </si>
  <si>
    <t>Confined Space Entry Program</t>
  </si>
  <si>
    <t>Saeed Al Ghamdi</t>
  </si>
  <si>
    <t>Rafha</t>
  </si>
  <si>
    <t>Srilanka</t>
  </si>
  <si>
    <t>Dawadmi</t>
  </si>
  <si>
    <t>CSCC21</t>
  </si>
  <si>
    <t>Basic Fire Fighting</t>
  </si>
  <si>
    <t>Essa Hussain Alabdullah</t>
  </si>
  <si>
    <t>Ghana</t>
  </si>
  <si>
    <t>Hafar Al Batin</t>
  </si>
  <si>
    <t>CSCC23</t>
  </si>
  <si>
    <t>Defensive Driving</t>
  </si>
  <si>
    <t>Yemen</t>
  </si>
  <si>
    <t>Al Qurayyat</t>
  </si>
  <si>
    <t>CSCC24</t>
  </si>
  <si>
    <t>Al Hassa</t>
  </si>
  <si>
    <t>Nairyah</t>
  </si>
  <si>
    <t>CSCC25</t>
  </si>
  <si>
    <t>ARC Flash Awareness</t>
  </si>
  <si>
    <t>Makkah</t>
  </si>
  <si>
    <t>Jubail</t>
  </si>
  <si>
    <t>CSCC26</t>
  </si>
  <si>
    <t>Hazardous Chemical Substance Management</t>
  </si>
  <si>
    <t>Al Ahsa</t>
  </si>
  <si>
    <t>CSCC08</t>
  </si>
  <si>
    <t>NG Electrical Safe working Procedures</t>
  </si>
  <si>
    <t>AL Hassa</t>
  </si>
  <si>
    <t>CSCC20</t>
  </si>
  <si>
    <t>Projects Business Work Permit Issuer &amp; Receiver</t>
  </si>
  <si>
    <t>Madinah al Munawara</t>
  </si>
  <si>
    <t>Turaif</t>
  </si>
  <si>
    <t>CSCC04</t>
  </si>
  <si>
    <t>Distribution Safety Rules Safe Isolation &amp; Switching Procedures</t>
  </si>
  <si>
    <t>CSCC22</t>
  </si>
  <si>
    <t>Basic First Aid</t>
  </si>
  <si>
    <t>Technical Certification Tests</t>
  </si>
  <si>
    <t>CTCT06</t>
  </si>
  <si>
    <t>Installation of Power cable Joint and Termination - 1KV</t>
  </si>
  <si>
    <t>1 Day joint</t>
  </si>
  <si>
    <t>CTCT07</t>
  </si>
  <si>
    <t>1 Day termination</t>
  </si>
  <si>
    <t>CTCT08</t>
  </si>
  <si>
    <t>Installation of Power cable Joint and Termination- 13.8KV</t>
  </si>
  <si>
    <t>CTCT09</t>
  </si>
  <si>
    <t>CTCT10</t>
  </si>
  <si>
    <t>Installation of Power cable Joint and Termination - 33KV</t>
  </si>
  <si>
    <t>CTCT11</t>
  </si>
  <si>
    <t xml:space="preserve">تلغى الدورة للمرشح عند تجاوز الغياب 10% وعدم الحضور بملابس السلامة </t>
  </si>
  <si>
    <t>اسم الدورة</t>
  </si>
  <si>
    <t>موقع انعقاد الدورة</t>
  </si>
  <si>
    <t>الجهة المنفذة</t>
  </si>
  <si>
    <t xml:space="preserve">GCC Lab </t>
  </si>
  <si>
    <t>تاريخ الدورة</t>
  </si>
  <si>
    <t>من</t>
  </si>
  <si>
    <t>إلى</t>
  </si>
  <si>
    <t>الكود</t>
  </si>
  <si>
    <t>تصنيف الدورة</t>
  </si>
  <si>
    <t>حضوري</t>
  </si>
  <si>
    <t xml:space="preserve">تسليم الشهادات </t>
  </si>
  <si>
    <t xml:space="preserve">الكتروني </t>
  </si>
  <si>
    <t>اسم المدرب</t>
  </si>
  <si>
    <t>الرقم الوظيفي</t>
  </si>
  <si>
    <t>المدة (يوم)</t>
  </si>
  <si>
    <t>م</t>
  </si>
  <si>
    <t xml:space="preserve">الاسم </t>
  </si>
  <si>
    <t>رقم الهوية</t>
  </si>
  <si>
    <t xml:space="preserve">المهنة </t>
  </si>
  <si>
    <t xml:space="preserve">اسم المقاول </t>
  </si>
  <si>
    <t>اليوم الاول</t>
  </si>
  <si>
    <t xml:space="preserve">اليوم الثاني </t>
  </si>
  <si>
    <t xml:space="preserve">اليوم الثالث </t>
  </si>
  <si>
    <t>اليوم الرابع</t>
  </si>
  <si>
    <t xml:space="preserve">اليوم الخامس </t>
  </si>
  <si>
    <t>اليوم السادس</t>
  </si>
  <si>
    <t>اليوم السابع</t>
  </si>
  <si>
    <t>ملاحظات</t>
  </si>
  <si>
    <t>NATIONALITY</t>
  </si>
  <si>
    <t>اجتاز / لم يجتاز</t>
  </si>
  <si>
    <t>C12</t>
  </si>
  <si>
    <t>م1</t>
  </si>
  <si>
    <t>م2</t>
  </si>
  <si>
    <t>م3</t>
  </si>
  <si>
    <t>غياب يتجاوز 10% أو عدم الحضور</t>
  </si>
  <si>
    <t>SAHAB UDDIN ABU TAHER</t>
  </si>
  <si>
    <t>TECHNICIAN</t>
  </si>
  <si>
    <t>Al Otaishan Group for Safety</t>
  </si>
  <si>
    <t>Y</t>
  </si>
  <si>
    <t>MOHAMMAD KAWSAR</t>
  </si>
  <si>
    <t>BANGLADESH</t>
  </si>
  <si>
    <t>AMIR HOSSAIN</t>
  </si>
  <si>
    <t>ELECTRICIAN</t>
  </si>
  <si>
    <t>MD SHAMIM MD USMAN</t>
  </si>
  <si>
    <t>INDIA</t>
  </si>
  <si>
    <t>DELWAR HUSSAIN</t>
  </si>
  <si>
    <t>AFTAB UDDIN  ABDUL HOQUE</t>
  </si>
  <si>
    <t>MANOJ KUMAR  SHAW</t>
  </si>
  <si>
    <t>WELDER</t>
  </si>
  <si>
    <t>MERAB ALAM SHABBIR AHMAD</t>
  </si>
  <si>
    <t>RAKESH VELLATHUR MANI</t>
  </si>
  <si>
    <t>Electrical Protecton technician</t>
  </si>
  <si>
    <t xml:space="preserve">Power Flow Contracting </t>
  </si>
  <si>
    <t>Ashok Subash</t>
  </si>
  <si>
    <t>TRAILER TRUCK DRIVER</t>
  </si>
  <si>
    <t>NSHH</t>
  </si>
  <si>
    <t>DANISH AFSAR ALI AFSAR KHAN AWAN</t>
  </si>
  <si>
    <t>Power Cable Connector</t>
  </si>
  <si>
    <t>HAMID SARFRAZ MUHAMMAD SARFRAZ</t>
  </si>
  <si>
    <t>PAKISTAN</t>
  </si>
  <si>
    <t>JAMSHED ANSARI</t>
  </si>
  <si>
    <t>Heavy equipment driver</t>
  </si>
  <si>
    <t>Mansoor Rain MD Salamat</t>
  </si>
  <si>
    <t>MOHAMMAD JAWED</t>
  </si>
  <si>
    <t>Shady mohammed rafik</t>
  </si>
  <si>
    <t>NADEEM AHMAD ZULFIQAR ALI</t>
  </si>
  <si>
    <t>EGYPT</t>
  </si>
  <si>
    <t>SHABIR JAFFAR JAFFAR KHAN</t>
  </si>
  <si>
    <t>Sharda Prasad Rambali Prasad</t>
  </si>
  <si>
    <t>ABDUL RAZZAQ ABDUL REHMAN</t>
  </si>
  <si>
    <t>EVENING</t>
  </si>
  <si>
    <t>SUDAN</t>
  </si>
  <si>
    <t>PHILIPINES</t>
  </si>
  <si>
    <t>NEPAL</t>
  </si>
  <si>
    <t>Ahmed Ghazai Alsulami</t>
  </si>
  <si>
    <t>GHANA</t>
  </si>
  <si>
    <t>SRILANKA</t>
  </si>
  <si>
    <t>YEMEN</t>
  </si>
  <si>
    <t>TUNIS</t>
  </si>
  <si>
    <t>NIGERIA</t>
  </si>
  <si>
    <t>JORDAN</t>
  </si>
  <si>
    <t>SYRIA</t>
  </si>
  <si>
    <t>LEBANON</t>
  </si>
  <si>
    <t xml:space="preserve">Basic First Aid  </t>
  </si>
  <si>
    <t>NG Electrical Safe Working Procedures</t>
  </si>
  <si>
    <t>Projects Business Work Permit Issuer&amp;Receiver</t>
  </si>
  <si>
    <t>Tabarjul</t>
  </si>
  <si>
    <t>Distribution Safety Rules&amp;Safe isolation&amp;Swtiching Procedures</t>
  </si>
  <si>
    <t>Quality of  Constructing  Under ground Distribution Network </t>
  </si>
  <si>
    <t>CTCC02</t>
  </si>
  <si>
    <t>Quality of  Constructing  Under ground Distribution Substations</t>
  </si>
  <si>
    <t>CTCC03</t>
  </si>
  <si>
    <t>Distribution Equipment Pre-Commissioning Tests </t>
  </si>
  <si>
    <t>CTCC04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</si>
</sst>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m\ yyyy"/>
  </numFmts>
  <fonts count="3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rgb="FFFFFFFF"/>
      <name val="Roboto"/>
    </font>
    <font>
      <sz val="18"/>
      <color rgb="FF000000"/>
      <name val="Arial"/>
      <family val="2"/>
    </font>
    <font>
      <sz val="20"/>
      <color theme="1"/>
      <name val="Aptos Narrow"/>
      <family val="2"/>
      <scheme val="minor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Helvetica"/>
    </font>
    <font>
      <sz val="11"/>
      <name val="ＭＳ Ｐゴシック"/>
      <family val="3"/>
      <charset val="128"/>
    </font>
    <font>
      <sz val="14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rgb="FFFFFFFF"/>
      <name val="Aharoni"/>
      <charset val="177"/>
    </font>
    <font>
      <sz val="16"/>
      <color rgb="FF000000"/>
      <name val="Arial"/>
      <family val="2"/>
    </font>
    <font>
      <b/>
      <sz val="20"/>
      <color theme="1"/>
      <name val="Aptos Narrow"/>
      <family val="2"/>
      <scheme val="minor"/>
    </font>
    <font>
      <sz val="11"/>
      <color rgb="FF000000"/>
      <name val="Carlito"/>
    </font>
    <font>
      <sz val="10"/>
      <name val="Arial"/>
      <family val="2"/>
    </font>
    <font>
      <sz val="11"/>
      <color theme="1"/>
      <name val="Aptos Display"/>
      <family val="2"/>
      <scheme val="major"/>
    </font>
    <font>
      <sz val="11"/>
      <color theme="1"/>
      <name val="Calibri"/>
      <family val="2"/>
    </font>
    <font>
      <sz val="11"/>
      <color theme="1"/>
      <name val="Helvetica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rgb="FF4472C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9" fillId="0" borderId="0">
      <alignment vertical="center"/>
    </xf>
    <xf numFmtId="9" fontId="21" fillId="0" borderId="0" applyFont="0" applyFill="0" applyBorder="0" applyAlignment="0" applyProtection="0"/>
    <xf numFmtId="0" fontId="27" fillId="0" borderId="0"/>
  </cellStyleXfs>
  <cellXfs count="87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4" fillId="8" borderId="1" xfId="0" applyFont="1" applyFill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9" borderId="2" xfId="0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readingOrder="1"/>
    </xf>
    <xf numFmtId="0" fontId="5" fillId="0" borderId="2" xfId="0" applyFont="1" applyBorder="1" applyAlignment="1">
      <alignment readingOrder="1"/>
    </xf>
    <xf numFmtId="0" fontId="5" fillId="11" borderId="3" xfId="0" applyFont="1" applyFill="1" applyBorder="1" applyAlignment="1">
      <alignment readingOrder="1"/>
    </xf>
    <xf numFmtId="0" fontId="5" fillId="0" borderId="3" xfId="0" applyFont="1" applyBorder="1" applyAlignment="1">
      <alignment readingOrder="1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readingOrder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4" fillId="8" borderId="0" xfId="0" applyFont="1" applyFill="1" applyAlignment="1">
      <alignment horizontal="center" vertical="center" readingOrder="1"/>
    </xf>
    <xf numFmtId="0" fontId="4" fillId="8" borderId="0" xfId="0" applyFont="1" applyFill="1" applyAlignment="1">
      <alignment horizontal="center" vertical="center" wrapText="1" readingOrder="1"/>
    </xf>
    <xf numFmtId="0" fontId="23" fillId="8" borderId="7" xfId="0" applyFont="1" applyFill="1" applyBorder="1" applyAlignment="1">
      <alignment horizontal="center" vertical="center" readingOrder="1"/>
    </xf>
    <xf numFmtId="0" fontId="23" fillId="8" borderId="1" xfId="0" applyFont="1" applyFill="1" applyBorder="1" applyAlignment="1">
      <alignment horizontal="center" vertical="center" readingOrder="1"/>
    </xf>
    <xf numFmtId="0" fontId="23" fillId="8" borderId="4" xfId="0" applyFont="1" applyFill="1" applyBorder="1" applyAlignment="1">
      <alignment horizontal="center" vertical="center" wrapText="1" readingOrder="1"/>
    </xf>
    <xf numFmtId="0" fontId="24" fillId="0" borderId="2" xfId="0" applyFont="1" applyBorder="1" applyAlignment="1">
      <alignment horizontal="center" vertical="center" wrapText="1" readingOrder="1"/>
    </xf>
    <xf numFmtId="0" fontId="20" fillId="9" borderId="2" xfId="0" applyFont="1" applyFill="1" applyBorder="1" applyAlignment="1">
      <alignment horizontal="center" vertical="center" readingOrder="1"/>
    </xf>
    <xf numFmtId="0" fontId="24" fillId="9" borderId="2" xfId="0" applyFont="1" applyFill="1" applyBorder="1" applyAlignment="1">
      <alignment horizontal="center" vertical="center" wrapText="1" readingOrder="1"/>
    </xf>
    <xf numFmtId="0" fontId="20" fillId="0" borderId="5" xfId="0" applyFont="1" applyBorder="1" applyAlignment="1">
      <alignment horizontal="center" vertical="center" readingOrder="1"/>
    </xf>
    <xf numFmtId="0" fontId="24" fillId="0" borderId="5" xfId="0" applyFont="1" applyBorder="1" applyAlignment="1">
      <alignment horizontal="center" vertical="center" wrapText="1" readingOrder="1"/>
    </xf>
    <xf numFmtId="0" fontId="23" fillId="8" borderId="8" xfId="0" applyFont="1" applyFill="1" applyBorder="1" applyAlignment="1">
      <alignment horizontal="center" vertical="center" readingOrder="1"/>
    </xf>
    <xf numFmtId="0" fontId="23" fillId="8" borderId="1" xfId="0" applyFont="1" applyFill="1" applyBorder="1" applyAlignment="1">
      <alignment horizontal="center" vertical="center" wrapText="1" readingOrder="1"/>
    </xf>
    <xf numFmtId="0" fontId="20" fillId="0" borderId="2" xfId="0" applyFont="1" applyBorder="1" applyAlignment="1">
      <alignment horizontal="center" vertical="center" wrapText="1" readingOrder="1"/>
    </xf>
    <xf numFmtId="0" fontId="20" fillId="9" borderId="2" xfId="0" applyFont="1" applyFill="1" applyBorder="1" applyAlignment="1">
      <alignment horizontal="center" vertical="center" wrapText="1" readingOrder="1"/>
    </xf>
    <xf numFmtId="0" fontId="26" fillId="0" borderId="0" xfId="0" applyFont="1"/>
    <xf numFmtId="0" fontId="0" fillId="0" borderId="6" xfId="0" applyBorder="1" applyAlignment="1">
      <alignment horizontal="center" vertical="center" wrapText="1"/>
    </xf>
    <xf numFmtId="9" fontId="0" fillId="0" borderId="6" xfId="2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 indent="1"/>
    </xf>
    <xf numFmtId="0" fontId="0" fillId="0" borderId="6" xfId="0" applyBorder="1" applyAlignment="1">
      <alignment horizontal="left" vertical="center" wrapText="1" indent="1"/>
    </xf>
    <xf numFmtId="0" fontId="22" fillId="12" borderId="6" xfId="0" applyFont="1" applyFill="1" applyBorder="1" applyAlignment="1">
      <alignment horizontal="center" vertical="center" wrapText="1"/>
    </xf>
    <xf numFmtId="9" fontId="22" fillId="12" borderId="6" xfId="2" applyFont="1" applyFill="1" applyBorder="1" applyAlignment="1">
      <alignment horizontal="center" vertical="center"/>
    </xf>
    <xf numFmtId="0" fontId="25" fillId="12" borderId="6" xfId="0" applyFont="1" applyFill="1" applyBorder="1" applyAlignment="1">
      <alignment horizontal="center"/>
    </xf>
    <xf numFmtId="0" fontId="25" fillId="12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17" fillId="0" borderId="0" xfId="0" applyFont="1"/>
    <xf numFmtId="0" fontId="17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1" fillId="0" borderId="0" xfId="0" applyFont="1"/>
    <xf numFmtId="0" fontId="25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 readingOrder="2"/>
    </xf>
    <xf numFmtId="164" fontId="8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12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0" fillId="0" borderId="2" xfId="0" applyFont="1" applyBorder="1" applyAlignment="1">
      <alignment horizontal="center" vertical="center" readingOrder="1"/>
    </xf>
    <xf numFmtId="0" fontId="20" fillId="9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/>
    </xf>
  </cellXfs>
  <cellStyles count="4">
    <cellStyle name="Normal" xfId="0" builtinId="0"/>
    <cellStyle name="Normal 2 2" xfId="3" xr:uid="{B927A08A-CDAB-433B-AC78-B7306B94E099}"/>
    <cellStyle name="Normal 3" xfId="1" xr:uid="{65F8D8AE-7959-4DC8-8990-1DCF782DD1E3}"/>
    <cellStyle name="Percent" xfId="2" builtinId="5"/>
  </cellStyles>
  <dxfs count="1">
    <dxf>
      <fill>
        <patternFill>
          <bgColor rgb="FFDDDDDD"/>
        </patternFill>
      </fill>
    </dxf>
  </dxfs>
  <tableStyles count="1" defaultTableStyle="TableStyleMedium2" defaultPivotStyle="PivotStyleLight16">
    <tableStyle name="Table Style 1" pivot="0" count="1" xr9:uid="{A9DD0DCE-F04C-4D40-A243-C7CDF918325C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5CF1-D8B8-407D-8A89-B77CF4415D6E}">
  <sheetPr>
    <tabColor rgb="FF92D050"/>
  </sheetPr>
  <dimension ref="A1:AF84"/>
  <sheetViews>
    <sheetView zoomScale="66" zoomScaleNormal="66" workbookViewId="0">
      <selection activeCell="AB9" sqref="AB9:AC28"/>
    </sheetView>
  </sheetViews>
  <sheetFormatPr defaultRowHeight="15" customHeight="1"/>
  <cols>
    <col min="1" max="1" width="6.81640625" customWidth="1"/>
    <col min="2" max="2" width="41.81640625" customWidth="1"/>
    <col min="3" max="3" width="22.81640625" customWidth="1"/>
    <col min="4" max="4" width="32" customWidth="1"/>
    <col min="5" max="5" width="39.54296875" customWidth="1"/>
    <col min="15" max="15" width="11.1796875" bestFit="1" customWidth="1"/>
    <col min="27" max="27" width="12.453125" customWidth="1"/>
    <col min="29" max="29" width="15.453125" customWidth="1"/>
    <col min="32" max="32" width="13.1796875" customWidth="1"/>
    <col min="99" max="99" width="48.1796875" customWidth="1"/>
    <col min="100" max="100" width="64.54296875" customWidth="1"/>
    <col min="101" max="101" width="78.54296875" customWidth="1"/>
    <col min="102" max="102" width="19.1796875" customWidth="1"/>
    <col min="108" max="108" width="25.81640625" customWidth="1"/>
    <col min="109" max="109" width="78.453125" customWidth="1"/>
  </cols>
  <sheetData>
    <row r="1" spans="1:32" ht="26">
      <c r="A1" s="64" t="s">
        <v>148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</row>
    <row r="2" spans="1:32" ht="28.5" customHeight="1">
      <c r="A2" s="65" t="s">
        <v>149</v>
      </c>
      <c r="B2" s="65"/>
      <c r="C2" s="65"/>
      <c r="D2" s="65"/>
      <c r="E2" s="66" t="s">
        <v>19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7" t="s">
        <v>150</v>
      </c>
      <c r="V2" s="67"/>
      <c r="W2" s="67"/>
      <c r="X2" s="67"/>
      <c r="Y2" s="67"/>
      <c r="Z2" s="67" t="s">
        <v>42</v>
      </c>
      <c r="AA2" s="67"/>
      <c r="AB2" s="67"/>
      <c r="AC2" s="67"/>
      <c r="AD2" s="67"/>
      <c r="AE2" s="67"/>
      <c r="AF2" s="67"/>
    </row>
    <row r="3" spans="1:32" ht="23.5">
      <c r="A3" s="65" t="s">
        <v>151</v>
      </c>
      <c r="B3" s="65"/>
      <c r="C3" s="65"/>
      <c r="D3" s="65"/>
      <c r="E3" s="79" t="s">
        <v>152</v>
      </c>
      <c r="F3" s="79"/>
      <c r="G3" s="79"/>
      <c r="H3" s="79"/>
      <c r="I3" s="79"/>
      <c r="J3" s="73" t="s">
        <v>153</v>
      </c>
      <c r="K3" s="73"/>
      <c r="L3" s="73"/>
      <c r="M3" s="73"/>
      <c r="N3" s="73" t="s">
        <v>154</v>
      </c>
      <c r="O3" s="73"/>
      <c r="P3" s="74">
        <v>46224</v>
      </c>
      <c r="Q3" s="74"/>
      <c r="R3" s="74"/>
      <c r="S3" s="74"/>
      <c r="T3" s="73" t="s">
        <v>155</v>
      </c>
      <c r="U3" s="73"/>
      <c r="V3" s="73"/>
      <c r="W3" s="73"/>
      <c r="X3" s="73"/>
      <c r="Y3" s="73"/>
      <c r="Z3" s="74">
        <v>46224</v>
      </c>
      <c r="AA3" s="74"/>
      <c r="AB3" s="74"/>
      <c r="AC3" s="74"/>
      <c r="AD3" s="75" t="s">
        <v>156</v>
      </c>
      <c r="AE3" s="75"/>
      <c r="AF3" s="13" t="str">
        <f>IFERROR(INDEX(Input!$E$4:$E$29,MATCH(E2,Input!$D$4:$D$29,0)),"")</f>
        <v>CSCC00</v>
      </c>
    </row>
    <row r="4" spans="1:32" ht="25">
      <c r="A4" s="65" t="s">
        <v>157</v>
      </c>
      <c r="B4" s="65"/>
      <c r="C4" s="65"/>
      <c r="D4" s="65"/>
      <c r="E4" s="12" t="s">
        <v>158</v>
      </c>
      <c r="F4" s="76" t="s">
        <v>159</v>
      </c>
      <c r="G4" s="76"/>
      <c r="H4" s="77" t="s">
        <v>160</v>
      </c>
      <c r="I4" s="77"/>
      <c r="J4" s="77"/>
      <c r="K4" s="76" t="s">
        <v>161</v>
      </c>
      <c r="L4" s="76"/>
      <c r="M4" s="76"/>
      <c r="N4" s="78" t="s">
        <v>102</v>
      </c>
      <c r="O4" s="78"/>
      <c r="P4" s="78"/>
      <c r="Q4" s="78"/>
      <c r="R4" s="78"/>
      <c r="S4" s="78"/>
      <c r="T4" s="78"/>
      <c r="U4" s="78"/>
      <c r="V4" s="78"/>
      <c r="W4" s="76" t="s">
        <v>162</v>
      </c>
      <c r="X4" s="76"/>
      <c r="Y4" s="76"/>
      <c r="Z4" s="76"/>
      <c r="AA4" s="67"/>
      <c r="AB4" s="67"/>
      <c r="AC4" s="67" t="s">
        <v>20</v>
      </c>
      <c r="AD4" s="67"/>
      <c r="AE4" s="61" t="s">
        <v>163</v>
      </c>
      <c r="AF4" s="60" cm="1">
        <f t="array" ref="AF4">IFERROR(_xlfn.XLOOKUP(TRIM(E2),TRIM(Inputs!$D$6:$D$28),Inputs!$E$6:$E$28,""),"")</f>
        <v>1</v>
      </c>
    </row>
    <row r="5" spans="1:32" ht="16">
      <c r="A5" s="80" t="s">
        <v>164</v>
      </c>
      <c r="B5" s="81" t="s">
        <v>165</v>
      </c>
      <c r="C5" s="68" t="s">
        <v>166</v>
      </c>
      <c r="D5" s="68" t="s">
        <v>167</v>
      </c>
      <c r="E5" s="68" t="s">
        <v>168</v>
      </c>
      <c r="F5" s="69" t="s">
        <v>169</v>
      </c>
      <c r="G5" s="69"/>
      <c r="H5" s="69"/>
      <c r="I5" s="70" t="s">
        <v>170</v>
      </c>
      <c r="J5" s="70"/>
      <c r="K5" s="70"/>
      <c r="L5" s="70" t="s">
        <v>171</v>
      </c>
      <c r="M5" s="70"/>
      <c r="N5" s="70"/>
      <c r="O5" s="70" t="s">
        <v>172</v>
      </c>
      <c r="P5" s="70"/>
      <c r="Q5" s="70"/>
      <c r="R5" s="70" t="s">
        <v>173</v>
      </c>
      <c r="S5" s="70"/>
      <c r="T5" s="70"/>
      <c r="U5" s="70" t="s">
        <v>174</v>
      </c>
      <c r="V5" s="70"/>
      <c r="W5" s="70"/>
      <c r="X5" s="70" t="s">
        <v>175</v>
      </c>
      <c r="Y5" s="70"/>
      <c r="Z5" s="70"/>
      <c r="AA5" s="14" t="s">
        <v>176</v>
      </c>
      <c r="AB5" s="71" t="s">
        <v>177</v>
      </c>
      <c r="AC5" s="71"/>
      <c r="AD5" s="71" t="s">
        <v>178</v>
      </c>
      <c r="AE5" s="71"/>
      <c r="AF5" s="71" t="s">
        <v>179</v>
      </c>
    </row>
    <row r="6" spans="1:32" ht="41.25" customHeight="1">
      <c r="A6" s="80"/>
      <c r="B6" s="81"/>
      <c r="C6" s="68"/>
      <c r="D6" s="68"/>
      <c r="E6" s="68"/>
      <c r="F6" s="72" t="s">
        <v>180</v>
      </c>
      <c r="G6" s="72" t="s">
        <v>181</v>
      </c>
      <c r="H6" s="72" t="s">
        <v>182</v>
      </c>
      <c r="I6" s="72" t="s">
        <v>180</v>
      </c>
      <c r="J6" s="72" t="s">
        <v>181</v>
      </c>
      <c r="K6" s="72" t="s">
        <v>182</v>
      </c>
      <c r="L6" s="72" t="s">
        <v>180</v>
      </c>
      <c r="M6" s="72" t="s">
        <v>181</v>
      </c>
      <c r="N6" s="72" t="s">
        <v>182</v>
      </c>
      <c r="O6" s="72" t="s">
        <v>180</v>
      </c>
      <c r="P6" s="72" t="s">
        <v>181</v>
      </c>
      <c r="Q6" s="72" t="s">
        <v>182</v>
      </c>
      <c r="R6" s="72" t="s">
        <v>180</v>
      </c>
      <c r="S6" s="72" t="s">
        <v>181</v>
      </c>
      <c r="T6" s="72" t="s">
        <v>182</v>
      </c>
      <c r="U6" s="72" t="s">
        <v>180</v>
      </c>
      <c r="V6" s="72" t="s">
        <v>181</v>
      </c>
      <c r="W6" s="72" t="s">
        <v>182</v>
      </c>
      <c r="X6" s="72" t="s">
        <v>180</v>
      </c>
      <c r="Y6" s="72" t="s">
        <v>181</v>
      </c>
      <c r="Z6" s="72" t="s">
        <v>182</v>
      </c>
      <c r="AA6" s="82" t="s">
        <v>183</v>
      </c>
      <c r="AB6" s="71"/>
      <c r="AC6" s="71"/>
      <c r="AD6" s="71"/>
      <c r="AE6" s="71"/>
      <c r="AF6" s="71"/>
    </row>
    <row r="7" spans="1:32" ht="18.75" customHeight="1">
      <c r="A7" s="80"/>
      <c r="B7" s="81"/>
      <c r="C7" s="68"/>
      <c r="D7" s="68"/>
      <c r="E7" s="68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82"/>
      <c r="AB7" s="71"/>
      <c r="AC7" s="71"/>
      <c r="AD7" s="71"/>
      <c r="AE7" s="71"/>
      <c r="AF7" s="71"/>
    </row>
    <row r="8" spans="1:32" ht="22.5" customHeight="1">
      <c r="A8" s="80"/>
      <c r="B8" s="81"/>
      <c r="C8" s="68"/>
      <c r="D8" s="68"/>
      <c r="E8" s="68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82"/>
      <c r="AB8" s="71"/>
      <c r="AC8" s="71"/>
      <c r="AD8" s="71"/>
      <c r="AE8" s="71"/>
      <c r="AF8" s="71"/>
    </row>
    <row r="9" spans="1:32" ht="14.5">
      <c r="A9" s="15">
        <v>1</v>
      </c>
      <c r="B9" s="51" t="s">
        <v>184</v>
      </c>
      <c r="C9" s="51">
        <v>2145726416</v>
      </c>
      <c r="D9" s="51" t="s">
        <v>185</v>
      </c>
      <c r="E9" s="52" t="s">
        <v>186</v>
      </c>
      <c r="F9" s="15" t="s">
        <v>187</v>
      </c>
      <c r="G9" s="15" t="s">
        <v>187</v>
      </c>
      <c r="H9" s="15" t="s">
        <v>187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57"/>
      <c r="AB9" s="83" t="s">
        <v>40</v>
      </c>
      <c r="AC9" s="83"/>
      <c r="AD9" s="83" t="s">
        <v>23</v>
      </c>
      <c r="AE9" s="83"/>
      <c r="AF9" s="16"/>
    </row>
    <row r="10" spans="1:32" ht="14.5">
      <c r="A10" s="15">
        <v>2</v>
      </c>
      <c r="B10" s="51" t="s">
        <v>188</v>
      </c>
      <c r="C10" s="51">
        <v>2591984030</v>
      </c>
      <c r="D10" s="51" t="s">
        <v>185</v>
      </c>
      <c r="E10" s="52" t="s">
        <v>186</v>
      </c>
      <c r="F10" s="15" t="s">
        <v>187</v>
      </c>
      <c r="G10" s="15" t="s">
        <v>187</v>
      </c>
      <c r="H10" s="15" t="s">
        <v>187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57"/>
      <c r="AB10" s="83" t="s">
        <v>189</v>
      </c>
      <c r="AC10" s="83"/>
      <c r="AD10" s="83" t="s">
        <v>23</v>
      </c>
      <c r="AE10" s="83"/>
      <c r="AF10" s="16"/>
    </row>
    <row r="11" spans="1:32" ht="14.5">
      <c r="A11" s="15">
        <v>3</v>
      </c>
      <c r="B11" s="51" t="s">
        <v>190</v>
      </c>
      <c r="C11" s="51">
        <v>2155382969</v>
      </c>
      <c r="D11" s="51" t="s">
        <v>191</v>
      </c>
      <c r="E11" s="52" t="s">
        <v>186</v>
      </c>
      <c r="F11" s="15" t="s">
        <v>187</v>
      </c>
      <c r="G11" s="15" t="s">
        <v>187</v>
      </c>
      <c r="H11" s="15" t="s">
        <v>187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57"/>
      <c r="AB11" s="83" t="s">
        <v>189</v>
      </c>
      <c r="AC11" s="83"/>
      <c r="AD11" s="83" t="s">
        <v>23</v>
      </c>
      <c r="AE11" s="83"/>
      <c r="AF11" s="16"/>
    </row>
    <row r="12" spans="1:32" ht="14.5">
      <c r="A12" s="15">
        <v>4</v>
      </c>
      <c r="B12" s="51" t="s">
        <v>192</v>
      </c>
      <c r="C12" s="51">
        <v>2380804845</v>
      </c>
      <c r="D12" s="51" t="s">
        <v>191</v>
      </c>
      <c r="E12" s="52" t="s">
        <v>186</v>
      </c>
      <c r="F12" s="15" t="s">
        <v>187</v>
      </c>
      <c r="G12" s="15" t="s">
        <v>187</v>
      </c>
      <c r="H12" s="15" t="s">
        <v>187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57"/>
      <c r="AB12" s="83" t="s">
        <v>193</v>
      </c>
      <c r="AC12" s="83"/>
      <c r="AD12" s="83" t="s">
        <v>23</v>
      </c>
      <c r="AE12" s="83"/>
      <c r="AF12" s="16"/>
    </row>
    <row r="13" spans="1:32" ht="14.5">
      <c r="A13" s="15">
        <v>5</v>
      </c>
      <c r="B13" s="51" t="s">
        <v>194</v>
      </c>
      <c r="C13" s="51">
        <v>2169537020</v>
      </c>
      <c r="D13" s="51" t="s">
        <v>191</v>
      </c>
      <c r="E13" s="52" t="s">
        <v>186</v>
      </c>
      <c r="F13" s="15" t="s">
        <v>187</v>
      </c>
      <c r="G13" s="15" t="s">
        <v>187</v>
      </c>
      <c r="H13" s="15" t="s">
        <v>187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83" t="s">
        <v>189</v>
      </c>
      <c r="AC13" s="83"/>
      <c r="AD13" s="83" t="s">
        <v>23</v>
      </c>
      <c r="AE13" s="83"/>
      <c r="AF13" s="16"/>
    </row>
    <row r="14" spans="1:32" ht="14.5">
      <c r="A14" s="15">
        <v>6</v>
      </c>
      <c r="B14" s="51" t="s">
        <v>195</v>
      </c>
      <c r="C14" s="51">
        <v>2211355645</v>
      </c>
      <c r="D14" s="51" t="s">
        <v>191</v>
      </c>
      <c r="E14" s="52" t="s">
        <v>186</v>
      </c>
      <c r="F14" s="15" t="s">
        <v>187</v>
      </c>
      <c r="G14" s="15" t="s">
        <v>187</v>
      </c>
      <c r="H14" s="15" t="s">
        <v>187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57"/>
      <c r="AB14" s="83" t="s">
        <v>189</v>
      </c>
      <c r="AC14" s="83"/>
      <c r="AD14" s="83" t="s">
        <v>23</v>
      </c>
      <c r="AE14" s="83"/>
      <c r="AF14" s="16"/>
    </row>
    <row r="15" spans="1:32" ht="14.5">
      <c r="A15" s="15">
        <v>7</v>
      </c>
      <c r="B15" s="51" t="s">
        <v>196</v>
      </c>
      <c r="C15" s="51">
        <v>2242146658</v>
      </c>
      <c r="D15" s="51" t="s">
        <v>197</v>
      </c>
      <c r="E15" s="52" t="s">
        <v>186</v>
      </c>
      <c r="F15" s="15" t="s">
        <v>187</v>
      </c>
      <c r="G15" s="15" t="s">
        <v>187</v>
      </c>
      <c r="H15" s="15" t="s">
        <v>187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57"/>
      <c r="AB15" s="83" t="s">
        <v>193</v>
      </c>
      <c r="AC15" s="83"/>
      <c r="AD15" s="83" t="s">
        <v>23</v>
      </c>
      <c r="AE15" s="83"/>
      <c r="AF15" s="16"/>
    </row>
    <row r="16" spans="1:32" ht="14.5">
      <c r="A16" s="15">
        <v>8</v>
      </c>
      <c r="B16" s="51" t="s">
        <v>198</v>
      </c>
      <c r="C16" s="51">
        <v>2559365024</v>
      </c>
      <c r="D16" s="51" t="s">
        <v>185</v>
      </c>
      <c r="E16" s="52" t="s">
        <v>186</v>
      </c>
      <c r="F16" s="15" t="s">
        <v>187</v>
      </c>
      <c r="G16" s="15" t="s">
        <v>187</v>
      </c>
      <c r="H16" s="15" t="s">
        <v>187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57"/>
      <c r="AB16" s="83" t="s">
        <v>193</v>
      </c>
      <c r="AC16" s="83"/>
      <c r="AD16" s="83" t="s">
        <v>23</v>
      </c>
      <c r="AE16" s="83"/>
      <c r="AF16" s="16"/>
    </row>
    <row r="17" spans="1:32" ht="15" customHeight="1">
      <c r="A17" s="15">
        <v>9</v>
      </c>
      <c r="B17" s="56" t="s">
        <v>199</v>
      </c>
      <c r="C17" s="53">
        <v>2576026310</v>
      </c>
      <c r="D17" s="54" t="s">
        <v>200</v>
      </c>
      <c r="E17" s="55" t="s">
        <v>201</v>
      </c>
      <c r="F17" s="15" t="s">
        <v>187</v>
      </c>
      <c r="G17" s="15" t="s">
        <v>187</v>
      </c>
      <c r="H17" s="15" t="s">
        <v>187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57"/>
      <c r="AB17" s="83" t="s">
        <v>193</v>
      </c>
      <c r="AC17" s="83"/>
      <c r="AD17" s="83" t="s">
        <v>23</v>
      </c>
      <c r="AE17" s="83"/>
      <c r="AF17" s="16"/>
    </row>
    <row r="18" spans="1:32" ht="15" customHeight="1">
      <c r="A18" s="15">
        <v>10</v>
      </c>
      <c r="B18" s="18" t="s">
        <v>202</v>
      </c>
      <c r="C18" s="19">
        <v>2437772524</v>
      </c>
      <c r="D18" s="58" t="s">
        <v>203</v>
      </c>
      <c r="E18" s="21" t="s">
        <v>204</v>
      </c>
      <c r="F18" s="15" t="s">
        <v>187</v>
      </c>
      <c r="G18" s="15" t="s">
        <v>187</v>
      </c>
      <c r="H18" s="15" t="s">
        <v>187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57"/>
      <c r="AB18" s="83" t="s">
        <v>193</v>
      </c>
      <c r="AC18" s="83"/>
      <c r="AD18" s="83" t="s">
        <v>23</v>
      </c>
      <c r="AE18" s="83"/>
      <c r="AF18" s="16"/>
    </row>
    <row r="19" spans="1:32" ht="15" customHeight="1">
      <c r="A19" s="15">
        <v>11</v>
      </c>
      <c r="B19" s="18" t="s">
        <v>205</v>
      </c>
      <c r="C19" s="19">
        <v>2639514401</v>
      </c>
      <c r="D19" s="22" t="s">
        <v>206</v>
      </c>
      <c r="E19" s="21" t="s">
        <v>204</v>
      </c>
      <c r="F19" s="15" t="s">
        <v>187</v>
      </c>
      <c r="G19" s="15" t="s">
        <v>187</v>
      </c>
      <c r="H19" s="15" t="s">
        <v>187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57"/>
      <c r="AB19" s="83" t="s">
        <v>193</v>
      </c>
      <c r="AC19" s="83"/>
      <c r="AD19" s="83" t="s">
        <v>23</v>
      </c>
      <c r="AE19" s="83"/>
      <c r="AF19" s="16"/>
    </row>
    <row r="20" spans="1:32" ht="15" customHeight="1">
      <c r="A20" s="15">
        <v>12</v>
      </c>
      <c r="B20" s="18" t="s">
        <v>207</v>
      </c>
      <c r="C20" s="19">
        <v>2639416243</v>
      </c>
      <c r="D20" s="22" t="s">
        <v>206</v>
      </c>
      <c r="E20" s="21" t="s">
        <v>204</v>
      </c>
      <c r="F20" s="15" t="s">
        <v>187</v>
      </c>
      <c r="G20" s="15" t="s">
        <v>187</v>
      </c>
      <c r="H20" s="15" t="s">
        <v>187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57"/>
      <c r="AB20" s="83" t="s">
        <v>208</v>
      </c>
      <c r="AC20" s="83"/>
      <c r="AD20" s="83" t="s">
        <v>23</v>
      </c>
      <c r="AE20" s="83"/>
      <c r="AF20" s="16"/>
    </row>
    <row r="21" spans="1:32" ht="14.5">
      <c r="A21" s="15">
        <v>13</v>
      </c>
      <c r="B21" s="18" t="s">
        <v>209</v>
      </c>
      <c r="C21" s="19">
        <v>2573886021</v>
      </c>
      <c r="D21" s="22" t="s">
        <v>210</v>
      </c>
      <c r="E21" s="21" t="s">
        <v>204</v>
      </c>
      <c r="F21" s="15" t="s">
        <v>187</v>
      </c>
      <c r="G21" s="15" t="s">
        <v>187</v>
      </c>
      <c r="H21" s="15" t="s">
        <v>187</v>
      </c>
      <c r="I21" s="16"/>
      <c r="J21" s="16"/>
      <c r="K21" s="16"/>
      <c r="L21" s="16"/>
      <c r="M21" s="16"/>
      <c r="N21" s="16"/>
      <c r="O21" s="17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57"/>
      <c r="AB21" s="83" t="s">
        <v>208</v>
      </c>
      <c r="AC21" s="83"/>
      <c r="AD21" s="83" t="s">
        <v>23</v>
      </c>
      <c r="AE21" s="83"/>
      <c r="AF21" s="16"/>
    </row>
    <row r="22" spans="1:32" ht="15" customHeight="1">
      <c r="A22" s="15">
        <v>14</v>
      </c>
      <c r="B22" s="18" t="s">
        <v>211</v>
      </c>
      <c r="C22" s="19">
        <v>2426856676</v>
      </c>
      <c r="D22" s="22" t="s">
        <v>206</v>
      </c>
      <c r="E22" s="21" t="s">
        <v>204</v>
      </c>
      <c r="F22" s="15" t="s">
        <v>187</v>
      </c>
      <c r="G22" s="15" t="s">
        <v>187</v>
      </c>
      <c r="H22" s="15" t="s">
        <v>187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57"/>
      <c r="AB22" s="83" t="s">
        <v>193</v>
      </c>
      <c r="AC22" s="83"/>
      <c r="AD22" s="83" t="s">
        <v>23</v>
      </c>
      <c r="AE22" s="83"/>
      <c r="AF22" s="16"/>
    </row>
    <row r="23" spans="1:32" ht="15" customHeight="1">
      <c r="A23" s="15">
        <v>15</v>
      </c>
      <c r="B23" s="18" t="s">
        <v>212</v>
      </c>
      <c r="C23" s="19">
        <v>2564898985</v>
      </c>
      <c r="D23" s="22" t="s">
        <v>206</v>
      </c>
      <c r="E23" s="21" t="s">
        <v>204</v>
      </c>
      <c r="F23" s="15" t="s">
        <v>187</v>
      </c>
      <c r="G23" s="15" t="s">
        <v>187</v>
      </c>
      <c r="H23" s="15" t="s">
        <v>187</v>
      </c>
      <c r="I23" s="16"/>
      <c r="J23" s="16"/>
      <c r="K23" s="16"/>
      <c r="L23" s="16"/>
      <c r="M23" s="16"/>
      <c r="N23" s="16"/>
      <c r="O23" s="17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57"/>
      <c r="AB23" s="83" t="s">
        <v>193</v>
      </c>
      <c r="AC23" s="83"/>
      <c r="AD23" s="83" t="s">
        <v>23</v>
      </c>
      <c r="AE23" s="83"/>
      <c r="AF23" s="16"/>
    </row>
    <row r="24" spans="1:32" ht="15" customHeight="1">
      <c r="A24" s="15">
        <v>16</v>
      </c>
      <c r="B24" s="18" t="s">
        <v>213</v>
      </c>
      <c r="C24" s="59">
        <v>2618610063</v>
      </c>
      <c r="D24" s="22" t="s">
        <v>191</v>
      </c>
      <c r="E24" s="21" t="s">
        <v>204</v>
      </c>
      <c r="F24" s="15" t="s">
        <v>187</v>
      </c>
      <c r="G24" s="15" t="s">
        <v>187</v>
      </c>
      <c r="H24" s="15" t="s">
        <v>187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57"/>
      <c r="AB24" s="83" t="s">
        <v>193</v>
      </c>
      <c r="AC24" s="83"/>
      <c r="AD24" s="83" t="s">
        <v>23</v>
      </c>
      <c r="AE24" s="83"/>
      <c r="AF24" s="16"/>
    </row>
    <row r="25" spans="1:32" ht="15" customHeight="1">
      <c r="A25" s="15">
        <v>17</v>
      </c>
      <c r="B25" s="18" t="s">
        <v>214</v>
      </c>
      <c r="C25" s="19">
        <v>2639819388</v>
      </c>
      <c r="D25" s="22" t="s">
        <v>206</v>
      </c>
      <c r="E25" s="21" t="s">
        <v>204</v>
      </c>
      <c r="F25" s="15" t="s">
        <v>187</v>
      </c>
      <c r="G25" s="15" t="s">
        <v>187</v>
      </c>
      <c r="H25" s="15" t="s">
        <v>187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57"/>
      <c r="AB25" s="83" t="s">
        <v>215</v>
      </c>
      <c r="AC25" s="83"/>
      <c r="AD25" s="83" t="s">
        <v>23</v>
      </c>
      <c r="AE25" s="83"/>
      <c r="AF25" s="16"/>
    </row>
    <row r="26" spans="1:32" ht="15" customHeight="1">
      <c r="A26" s="15">
        <v>18</v>
      </c>
      <c r="B26" s="18" t="s">
        <v>216</v>
      </c>
      <c r="C26" s="19">
        <v>2639819271</v>
      </c>
      <c r="D26" s="22" t="s">
        <v>206</v>
      </c>
      <c r="E26" s="21" t="s">
        <v>204</v>
      </c>
      <c r="F26" s="15" t="s">
        <v>187</v>
      </c>
      <c r="G26" s="15" t="s">
        <v>187</v>
      </c>
      <c r="H26" s="15" t="s">
        <v>187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57"/>
      <c r="AB26" s="83" t="s">
        <v>208</v>
      </c>
      <c r="AC26" s="83"/>
      <c r="AD26" s="83" t="s">
        <v>23</v>
      </c>
      <c r="AE26" s="83"/>
      <c r="AF26" s="16"/>
    </row>
    <row r="27" spans="1:32" ht="15" customHeight="1">
      <c r="A27" s="15">
        <v>19</v>
      </c>
      <c r="B27" s="18" t="s">
        <v>217</v>
      </c>
      <c r="C27" s="19">
        <v>2415199344</v>
      </c>
      <c r="D27" s="22" t="s">
        <v>206</v>
      </c>
      <c r="E27" s="21" t="s">
        <v>204</v>
      </c>
      <c r="F27" s="15" t="s">
        <v>187</v>
      </c>
      <c r="G27" s="15" t="s">
        <v>187</v>
      </c>
      <c r="H27" s="15" t="s">
        <v>187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57"/>
      <c r="AB27" s="83" t="s">
        <v>193</v>
      </c>
      <c r="AC27" s="83"/>
      <c r="AD27" s="83" t="s">
        <v>23</v>
      </c>
      <c r="AE27" s="83"/>
      <c r="AF27" s="16"/>
    </row>
    <row r="28" spans="1:32" ht="15" customHeight="1">
      <c r="A28" s="15">
        <v>20</v>
      </c>
      <c r="B28" s="18" t="s">
        <v>218</v>
      </c>
      <c r="C28" s="19">
        <v>2619144351</v>
      </c>
      <c r="D28" s="22" t="s">
        <v>191</v>
      </c>
      <c r="E28" s="21" t="s">
        <v>204</v>
      </c>
      <c r="F28" s="15" t="s">
        <v>187</v>
      </c>
      <c r="G28" s="15" t="s">
        <v>187</v>
      </c>
      <c r="H28" s="15" t="s">
        <v>187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83" t="s">
        <v>208</v>
      </c>
      <c r="AC28" s="83"/>
      <c r="AD28" s="83" t="s">
        <v>23</v>
      </c>
      <c r="AE28" s="83"/>
      <c r="AF28" s="16"/>
    </row>
    <row r="29" spans="1:32" ht="14.5">
      <c r="D29" s="1"/>
    </row>
    <row r="30" spans="1:32" ht="14.5">
      <c r="D30" s="1"/>
    </row>
    <row r="31" spans="1:32" ht="14.5">
      <c r="D31" s="1"/>
    </row>
    <row r="32" spans="1:32" ht="14.5">
      <c r="D32" s="1"/>
    </row>
    <row r="33" spans="3:15" ht="14.5">
      <c r="D33" s="1"/>
    </row>
    <row r="34" spans="3:15" ht="14.5">
      <c r="D34" s="1"/>
    </row>
    <row r="35" spans="3:15" ht="14.5">
      <c r="C35" s="1"/>
      <c r="D35" s="1"/>
    </row>
    <row r="36" spans="3:15" ht="14.5">
      <c r="C36" s="1"/>
      <c r="D36" s="1"/>
    </row>
    <row r="37" spans="3:15" ht="14.5">
      <c r="C37" s="1"/>
      <c r="D37" s="1"/>
    </row>
    <row r="38" spans="3:15" ht="14.5">
      <c r="C38" s="1"/>
      <c r="D38" s="1"/>
      <c r="O38" s="4"/>
    </row>
    <row r="39" spans="3:15" ht="14.5">
      <c r="C39" s="1"/>
      <c r="D39" s="1"/>
    </row>
    <row r="40" spans="3:15" ht="14.5">
      <c r="C40" s="1"/>
      <c r="D40" s="1"/>
    </row>
    <row r="41" spans="3:15" ht="14.5">
      <c r="C41" s="1"/>
      <c r="D41" s="1"/>
    </row>
    <row r="42" spans="3:15" ht="14.5">
      <c r="C42" s="1"/>
      <c r="D42" s="1"/>
    </row>
    <row r="43" spans="3:15" ht="14.5">
      <c r="C43" s="1"/>
      <c r="D43" s="1"/>
    </row>
    <row r="44" spans="3:15" ht="14.5">
      <c r="C44" s="1"/>
      <c r="D44" s="1"/>
    </row>
    <row r="45" spans="3:15" ht="14.5">
      <c r="C45" s="1"/>
      <c r="D45" s="1"/>
    </row>
    <row r="46" spans="3:15" ht="14.5">
      <c r="C46" s="1"/>
      <c r="D46" s="1"/>
    </row>
    <row r="47" spans="3:15" ht="14.5">
      <c r="C47" s="1"/>
      <c r="D47" s="1"/>
    </row>
    <row r="48" spans="3:15" ht="14.5">
      <c r="C48" s="1"/>
      <c r="D48" s="1"/>
    </row>
    <row r="49" spans="3:4" ht="14.5">
      <c r="C49" s="1"/>
      <c r="D49" s="1"/>
    </row>
    <row r="50" spans="3:4" ht="14.5">
      <c r="C50" s="1"/>
      <c r="D50" s="1"/>
    </row>
    <row r="51" spans="3:4" ht="14.5">
      <c r="C51" s="1"/>
      <c r="D51" s="1"/>
    </row>
    <row r="52" spans="3:4" ht="14.5">
      <c r="C52" s="1"/>
      <c r="D52" s="1"/>
    </row>
    <row r="53" spans="3:4" ht="14.5">
      <c r="C53" s="1"/>
      <c r="D53" s="1"/>
    </row>
    <row r="54" spans="3:4" ht="14.5">
      <c r="C54" s="1"/>
      <c r="D54" s="1"/>
    </row>
    <row r="55" spans="3:4" ht="14.5">
      <c r="C55" s="1"/>
      <c r="D55" s="1"/>
    </row>
    <row r="56" spans="3:4" ht="14.5">
      <c r="C56" s="1"/>
      <c r="D56" s="1"/>
    </row>
    <row r="57" spans="3:4" ht="14.5">
      <c r="C57" s="1"/>
      <c r="D57" s="1"/>
    </row>
    <row r="58" spans="3:4" ht="14.5">
      <c r="C58" s="1"/>
      <c r="D58" s="1"/>
    </row>
    <row r="59" spans="3:4" ht="14.5">
      <c r="C59" s="1"/>
    </row>
    <row r="60" spans="3:4" ht="14.5">
      <c r="C60" s="1"/>
    </row>
    <row r="61" spans="3:4" ht="14.5">
      <c r="C61" s="1"/>
    </row>
    <row r="62" spans="3:4" ht="14.5">
      <c r="C62" s="1"/>
    </row>
    <row r="63" spans="3:4" ht="14.5">
      <c r="C63" s="1"/>
    </row>
    <row r="64" spans="3:4" ht="14.5">
      <c r="C64" s="1"/>
    </row>
    <row r="65" ht="14.5"/>
    <row r="66" ht="14.5"/>
    <row r="67" ht="14.5"/>
    <row r="68" ht="14.5"/>
    <row r="69" ht="14.5"/>
    <row r="70" ht="14.5"/>
    <row r="71" ht="14.5"/>
    <row r="72" ht="14.5"/>
    <row r="73" ht="14.5"/>
    <row r="74" ht="14.5"/>
    <row r="75" ht="14.5"/>
    <row r="76" ht="14.5"/>
    <row r="77" ht="14.5"/>
    <row r="78" ht="14.5"/>
    <row r="79" ht="14.5"/>
    <row r="80" ht="14.5"/>
    <row r="81" ht="14.5"/>
    <row r="82" ht="14.5"/>
    <row r="83" ht="14.5"/>
    <row r="84" ht="14.5"/>
  </sheetData>
  <mergeCells count="98">
    <mergeCell ref="AB27:AC27"/>
    <mergeCell ref="AD27:AE27"/>
    <mergeCell ref="AB28:AC28"/>
    <mergeCell ref="AD28:AE28"/>
    <mergeCell ref="AB24:AC24"/>
    <mergeCell ref="AD24:AE24"/>
    <mergeCell ref="AB25:AC25"/>
    <mergeCell ref="AD25:AE25"/>
    <mergeCell ref="AB26:AC26"/>
    <mergeCell ref="AD26:AE26"/>
    <mergeCell ref="AB21:AC21"/>
    <mergeCell ref="AD21:AE21"/>
    <mergeCell ref="AB22:AC22"/>
    <mergeCell ref="AD22:AE22"/>
    <mergeCell ref="AB23:AC23"/>
    <mergeCell ref="AD23:AE23"/>
    <mergeCell ref="AB18:AC18"/>
    <mergeCell ref="AD18:AE18"/>
    <mergeCell ref="AB19:AC19"/>
    <mergeCell ref="AD19:AE19"/>
    <mergeCell ref="AB20:AC20"/>
    <mergeCell ref="AD20:AE20"/>
    <mergeCell ref="AB15:AC15"/>
    <mergeCell ref="AD15:AE15"/>
    <mergeCell ref="AB16:AC16"/>
    <mergeCell ref="AD16:AE16"/>
    <mergeCell ref="AB17:AC17"/>
    <mergeCell ref="AD17:AE17"/>
    <mergeCell ref="AB12:AC12"/>
    <mergeCell ref="AD12:AE12"/>
    <mergeCell ref="AB13:AC13"/>
    <mergeCell ref="AD13:AE13"/>
    <mergeCell ref="AB14:AC14"/>
    <mergeCell ref="AD14:AE14"/>
    <mergeCell ref="AB9:AC9"/>
    <mergeCell ref="AD9:AE9"/>
    <mergeCell ref="AB10:AC10"/>
    <mergeCell ref="AD10:AE10"/>
    <mergeCell ref="AB11:AC11"/>
    <mergeCell ref="AD11:AE11"/>
    <mergeCell ref="Q6:Q8"/>
    <mergeCell ref="V6:V8"/>
    <mergeCell ref="W6:W8"/>
    <mergeCell ref="X6:X8"/>
    <mergeCell ref="Y6:Y8"/>
    <mergeCell ref="AF5:AF8"/>
    <mergeCell ref="R6:R8"/>
    <mergeCell ref="S6:S8"/>
    <mergeCell ref="T6:T8"/>
    <mergeCell ref="U6:U8"/>
    <mergeCell ref="R5:T5"/>
    <mergeCell ref="U5:W5"/>
    <mergeCell ref="X5:Z5"/>
    <mergeCell ref="AB5:AC8"/>
    <mergeCell ref="AA6:AA8"/>
    <mergeCell ref="Z6:Z8"/>
    <mergeCell ref="F5:H5"/>
    <mergeCell ref="I5:K5"/>
    <mergeCell ref="L5:N5"/>
    <mergeCell ref="O5:Q5"/>
    <mergeCell ref="AD5:AE8"/>
    <mergeCell ref="K6:K8"/>
    <mergeCell ref="F6:F8"/>
    <mergeCell ref="G6:G8"/>
    <mergeCell ref="H6:H8"/>
    <mergeCell ref="I6:I8"/>
    <mergeCell ref="J6:J8"/>
    <mergeCell ref="L6:L8"/>
    <mergeCell ref="M6:M8"/>
    <mergeCell ref="N6:N8"/>
    <mergeCell ref="O6:O8"/>
    <mergeCell ref="P6:P8"/>
    <mergeCell ref="A5:A8"/>
    <mergeCell ref="B5:B8"/>
    <mergeCell ref="C5:C8"/>
    <mergeCell ref="D5:D8"/>
    <mergeCell ref="E5:E8"/>
    <mergeCell ref="T3:Y3"/>
    <mergeCell ref="Z3:AC3"/>
    <mergeCell ref="AD3:AE3"/>
    <mergeCell ref="A4:D4"/>
    <mergeCell ref="F4:G4"/>
    <mergeCell ref="H4:J4"/>
    <mergeCell ref="K4:M4"/>
    <mergeCell ref="N4:V4"/>
    <mergeCell ref="W4:Z4"/>
    <mergeCell ref="AA4:AB4"/>
    <mergeCell ref="A3:D3"/>
    <mergeCell ref="E3:I3"/>
    <mergeCell ref="J3:M3"/>
    <mergeCell ref="N3:O3"/>
    <mergeCell ref="P3:S3"/>
    <mergeCell ref="AC4:AD4"/>
    <mergeCell ref="A1:AF1"/>
    <mergeCell ref="A2:D2"/>
    <mergeCell ref="E2:T2"/>
    <mergeCell ref="U2:Y2"/>
    <mergeCell ref="Z2:AF2"/>
  </mergeCells>
  <dataValidations count="3">
    <dataValidation type="list" allowBlank="1" showInputMessage="1" showErrorMessage="1" sqref="F2:T2 AC8 AC10:AC28 AF10:AF28 AC5 AC6 AC7" xr:uid="{28BD56D3-D8A6-4E52-B314-915916CD02D4}">
      <formula1>#REF!</formula1>
    </dataValidation>
    <dataValidation type="date" allowBlank="1" showInputMessage="1" showErrorMessage="1" promptTitle="Date Selection" prompt="Click the calendar icon to select a date" sqref="P3:S3 Z3:AC3" xr:uid="{04B3602D-A493-49AF-AC35-C3A1C051011C}">
      <formula1>1</formula1>
      <formula2>73415</formula2>
    </dataValidation>
    <dataValidation type="list" allowBlank="1" showInputMessage="1" showErrorMessage="1" sqref="AC4:AD4" xr:uid="{B8DD37F6-8DC5-4F0C-816D-C4D1DC6477A6}">
      <formula1>$K$5:$K$7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promptTitle="Course Name" prompt="Select a course from the dropdown list" xr:uid="{228A14A2-4FD2-4659-9DF8-C84BB0732CA0}">
          <x14:formula1>
            <xm:f>Input!$D$4:$D$29</xm:f>
          </x14:formula1>
          <xm:sqref>E2</xm:sqref>
        </x14:dataValidation>
        <x14:dataValidation type="list" allowBlank="1" showInputMessage="1" showErrorMessage="1" promptTitle="Nationality" prompt="Select nationality from the dropdown list" xr:uid="{5D7D7A49-3C35-4A2C-9AFB-4CE1BD16BAAA}">
          <x14:formula1>
            <xm:f>Inputs!$O$5:$O$21</xm:f>
          </x14:formula1>
          <xm:sqref>AB10:AB28</xm:sqref>
        </x14:dataValidation>
        <x14:dataValidation type="list" allowBlank="1" showInputMessage="1" showErrorMessage="1" xr:uid="{E8DA6F93-9F7A-4DEA-A128-19A89A8A6CA2}">
          <x14:formula1>
            <xm:f>Inputs!$R$5:$R$10</xm:f>
          </x14:formula1>
          <xm:sqref>AF9</xm:sqref>
        </x14:dataValidation>
        <x14:dataValidation type="list" allowBlank="1" showInputMessage="1" showErrorMessage="1" xr:uid="{43E2398A-0636-4501-B6C3-9AF9387AEFBC}">
          <x14:formula1>
            <xm:f>Inputs!$I$5:$I$20</xm:f>
          </x14:formula1>
          <xm:sqref>N4:V4</xm:sqref>
        </x14:dataValidation>
        <x14:dataValidation type="list" allowBlank="1" showInputMessage="1" showErrorMessage="1" xr:uid="{9414F9B7-77F4-47BC-B631-BA0A2734F629}">
          <x14:formula1>
            <xm:f>Inputs!$T$5:$T$27</xm:f>
          </x14:formula1>
          <xm:sqref>Z2:AF2</xm:sqref>
        </x14:dataValidation>
        <x14:dataValidation type="list" allowBlank="1" showInputMessage="1" showErrorMessage="1" xr:uid="{C96E5571-813D-49C1-9667-B7E6DA71FC46}">
          <x14:formula1>
            <xm:f>Inputs!$O$5:$O$18</xm:f>
          </x14:formula1>
          <xm:sqref>AC9</xm:sqref>
        </x14:dataValidation>
        <x14:dataValidation type="list" allowBlank="1" showInputMessage="1" showErrorMessage="1" xr:uid="{96693958-81B0-4D26-90CA-E50D4A9D09E4}">
          <x14:formula1>
            <xm:f>Inputs!$Q$5:$Q$7</xm:f>
          </x14:formula1>
          <xm:sqref>AD9:AE28</xm:sqref>
        </x14:dataValidation>
        <x14:dataValidation type="list" allowBlank="1" showInputMessage="1" showErrorMessage="1" xr:uid="{1903EF68-7AEB-46D9-8137-2EBA0B5320D9}">
          <x14:formula1>
            <xm:f>Inputs!$O$5:$O$21</xm:f>
          </x14:formula1>
          <xm:sqref>AB29:AB45 AB5:AB9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1A73-69C2-4936-8F85-9F372CC575C7}">
  <dimension ref="A1:CV68"/>
  <sheetViews>
    <sheetView tabSelected="1" topLeftCell="A39" zoomScale="66" zoomScaleNormal="66" workbookViewId="0">
      <selection activeCell="AC4" sqref="AC4:AD4"/>
    </sheetView>
  </sheetViews>
  <sheetFormatPr defaultRowHeight="15" customHeight="1"/>
  <cols>
    <col min="1" max="1" width="6.81640625" customWidth="1"/>
    <col min="2" max="2" width="19.453125" customWidth="1"/>
    <col min="3" max="3" width="20.26953125" customWidth="1"/>
    <col min="4" max="4" width="89.81640625" customWidth="1"/>
    <col min="5" max="5" width="18.453125" customWidth="1"/>
    <col min="9" max="9" width="38.7265625" customWidth="1"/>
    <col min="10" max="10" width="32.453125" customWidth="1"/>
    <col min="11" max="11" width="19.1796875" customWidth="1"/>
    <col min="12" max="12" width="32.7265625" customWidth="1"/>
    <col min="15" max="15" width="46.81640625" customWidth="1"/>
    <col min="17" max="17" width="23.453125" customWidth="1"/>
    <col min="18" max="18" width="22.7265625" customWidth="1"/>
    <col min="20" max="20" width="30.26953125" customWidth="1"/>
    <col min="27" max="27" width="12.453125" customWidth="1"/>
    <col min="29" max="29" width="15.453125" customWidth="1"/>
    <col min="32" max="32" width="13.1796875" customWidth="1"/>
    <col min="86" max="86" width="28" customWidth="1"/>
    <col min="87" max="87" width="35.7265625" customWidth="1"/>
    <col min="88" max="88" width="18.1796875" customWidth="1"/>
    <col min="114" max="114" width="48.1796875" customWidth="1"/>
    <col min="115" max="115" width="64.54296875" customWidth="1"/>
    <col min="116" max="116" width="78.54296875" customWidth="1"/>
    <col min="117" max="117" width="19.1796875" customWidth="1"/>
    <col min="123" max="123" width="25.81640625" customWidth="1"/>
    <col min="124" max="124" width="78.453125" customWidth="1"/>
  </cols>
  <sheetData>
    <row r="1" spans="1:100" ht="26">
      <c r="A1" s="62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</row>
    <row r="2" spans="1:100" ht="28.5" customHeight="1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</row>
    <row r="3" spans="1:100" ht="46">
      <c r="A3" s="25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CH3" t="s">
        <v>0</v>
      </c>
      <c r="CI3" s="27" t="s">
        <v>1</v>
      </c>
      <c r="CJ3" s="28" t="s">
        <v>2</v>
      </c>
      <c r="CN3" t="s">
        <v>3</v>
      </c>
      <c r="CQ3" s="2" t="s">
        <v>4</v>
      </c>
      <c r="CR3" t="s">
        <v>5</v>
      </c>
      <c r="CT3" t="s">
        <v>6</v>
      </c>
      <c r="CV3" t="s">
        <v>7</v>
      </c>
    </row>
    <row r="4" spans="1:100" ht="26.5" thickBot="1">
      <c r="A4" s="20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</row>
    <row r="5" spans="1:100" ht="39.75" customHeight="1" thickBot="1">
      <c r="A5" s="20"/>
      <c r="B5" s="29" t="s">
        <v>8</v>
      </c>
      <c r="C5" s="30" t="s">
        <v>9</v>
      </c>
      <c r="D5" s="30" t="s">
        <v>1</v>
      </c>
      <c r="E5" s="31" t="s">
        <v>2</v>
      </c>
      <c r="F5" s="24"/>
      <c r="G5" s="24"/>
      <c r="H5" s="24"/>
      <c r="I5" s="46" t="s">
        <v>10</v>
      </c>
      <c r="J5" s="47" t="s">
        <v>11</v>
      </c>
      <c r="K5" s="47" t="s">
        <v>12</v>
      </c>
      <c r="L5" s="46" t="s">
        <v>13</v>
      </c>
      <c r="M5" s="24"/>
      <c r="N5" s="24"/>
      <c r="O5" s="48" t="s">
        <v>14</v>
      </c>
      <c r="P5" s="24"/>
      <c r="Q5" s="49" t="s">
        <v>15</v>
      </c>
      <c r="R5" s="48" t="s">
        <v>16</v>
      </c>
      <c r="S5" s="24"/>
      <c r="T5" s="48" t="s">
        <v>17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</row>
    <row r="6" spans="1:100" ht="39.75" customHeight="1">
      <c r="A6" s="20"/>
      <c r="B6" s="23">
        <v>1</v>
      </c>
      <c r="C6" s="23" t="s">
        <v>18</v>
      </c>
      <c r="D6" s="32" t="s">
        <v>19</v>
      </c>
      <c r="E6" s="32">
        <v>1</v>
      </c>
      <c r="F6" s="24"/>
      <c r="G6" s="24"/>
      <c r="H6" s="24"/>
      <c r="I6" s="42" t="s">
        <v>0</v>
      </c>
      <c r="J6" s="43" t="s">
        <v>4</v>
      </c>
      <c r="K6" s="43" t="s">
        <v>20</v>
      </c>
      <c r="L6" s="42" t="s">
        <v>21</v>
      </c>
      <c r="M6" s="24"/>
      <c r="N6" s="24"/>
      <c r="O6" s="26" t="s">
        <v>22</v>
      </c>
      <c r="P6" s="24"/>
      <c r="Q6" s="50" t="s">
        <v>23</v>
      </c>
      <c r="R6" s="26" t="s">
        <v>24</v>
      </c>
      <c r="S6" s="24"/>
      <c r="T6" s="26" t="s">
        <v>25</v>
      </c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</row>
    <row r="7" spans="1:100" ht="39.75" customHeight="1">
      <c r="A7" s="20"/>
      <c r="B7" s="33">
        <v>2</v>
      </c>
      <c r="C7" s="33" t="s">
        <v>26</v>
      </c>
      <c r="D7" s="34" t="s">
        <v>27</v>
      </c>
      <c r="E7" s="34">
        <v>2</v>
      </c>
      <c r="F7" s="24"/>
      <c r="G7" s="24"/>
      <c r="H7" s="24"/>
      <c r="I7" s="42" t="s">
        <v>28</v>
      </c>
      <c r="J7" s="43" t="s">
        <v>25</v>
      </c>
      <c r="K7" s="43" t="s">
        <v>29</v>
      </c>
      <c r="L7" s="42" t="s">
        <v>30</v>
      </c>
      <c r="M7" s="24"/>
      <c r="N7" s="24"/>
      <c r="O7" s="26" t="s">
        <v>31</v>
      </c>
      <c r="P7" s="24"/>
      <c r="Q7" s="50" t="s">
        <v>32</v>
      </c>
      <c r="R7" s="26" t="s">
        <v>33</v>
      </c>
      <c r="S7" s="24"/>
      <c r="T7" s="26" t="s">
        <v>34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</row>
    <row r="8" spans="1:100" ht="39.75" customHeight="1">
      <c r="A8" s="20"/>
      <c r="B8" s="23">
        <v>3</v>
      </c>
      <c r="C8" s="23" t="s">
        <v>35</v>
      </c>
      <c r="D8" s="32" t="s">
        <v>36</v>
      </c>
      <c r="E8" s="32">
        <v>3</v>
      </c>
      <c r="F8" s="24"/>
      <c r="G8" s="24"/>
      <c r="H8" s="24"/>
      <c r="I8" s="42" t="s">
        <v>37</v>
      </c>
      <c r="J8" s="43" t="s">
        <v>38</v>
      </c>
      <c r="K8" s="43"/>
      <c r="L8" s="42" t="s">
        <v>39</v>
      </c>
      <c r="M8" s="24"/>
      <c r="N8" s="24"/>
      <c r="O8" s="26" t="s">
        <v>40</v>
      </c>
      <c r="P8" s="24"/>
      <c r="Q8" s="24"/>
      <c r="R8" s="26" t="s">
        <v>41</v>
      </c>
      <c r="S8" s="24"/>
      <c r="T8" s="26" t="s">
        <v>42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</row>
    <row r="9" spans="1:100" ht="39.75" customHeight="1">
      <c r="A9" s="20"/>
      <c r="B9" s="23">
        <v>4</v>
      </c>
      <c r="C9" s="33" t="s">
        <v>43</v>
      </c>
      <c r="D9" s="34" t="s">
        <v>44</v>
      </c>
      <c r="E9" s="34">
        <v>3</v>
      </c>
      <c r="F9" s="24"/>
      <c r="G9" s="24"/>
      <c r="H9" s="24"/>
      <c r="I9" s="42" t="s">
        <v>45</v>
      </c>
      <c r="J9" s="43" t="s">
        <v>34</v>
      </c>
      <c r="K9" s="43"/>
      <c r="L9" s="42" t="s">
        <v>46</v>
      </c>
      <c r="M9" s="24"/>
      <c r="N9" s="24"/>
      <c r="O9" s="26" t="s">
        <v>47</v>
      </c>
      <c r="P9" s="24"/>
      <c r="Q9" s="24"/>
      <c r="R9" s="26" t="s">
        <v>48</v>
      </c>
      <c r="S9" s="24"/>
      <c r="T9" s="26" t="s">
        <v>49</v>
      </c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</row>
    <row r="10" spans="1:100" ht="39.75" customHeight="1">
      <c r="A10" s="20"/>
      <c r="B10" s="33">
        <v>5</v>
      </c>
      <c r="C10" s="23" t="s">
        <v>50</v>
      </c>
      <c r="D10" s="32" t="s">
        <v>51</v>
      </c>
      <c r="E10" s="32">
        <v>4</v>
      </c>
      <c r="F10" s="24"/>
      <c r="G10" s="24"/>
      <c r="H10" s="24"/>
      <c r="I10" s="42" t="s">
        <v>52</v>
      </c>
      <c r="J10" s="43" t="s">
        <v>53</v>
      </c>
      <c r="K10" s="43"/>
      <c r="L10" s="43" t="s">
        <v>0</v>
      </c>
      <c r="M10" s="24"/>
      <c r="N10" s="24"/>
      <c r="O10" s="26" t="s">
        <v>54</v>
      </c>
      <c r="P10" s="24"/>
      <c r="Q10" s="24"/>
      <c r="R10" s="26" t="s">
        <v>55</v>
      </c>
      <c r="S10" s="24"/>
      <c r="T10" s="26" t="s">
        <v>38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</row>
    <row r="11" spans="1:100" ht="39.75" customHeight="1">
      <c r="A11" s="20"/>
      <c r="B11" s="23">
        <v>6</v>
      </c>
      <c r="C11" s="33" t="s">
        <v>56</v>
      </c>
      <c r="D11" s="34" t="s">
        <v>57</v>
      </c>
      <c r="E11" s="34">
        <v>1</v>
      </c>
      <c r="F11" s="24"/>
      <c r="G11" s="24"/>
      <c r="H11" s="24"/>
      <c r="I11" s="43" t="s">
        <v>58</v>
      </c>
      <c r="J11" s="43" t="s">
        <v>59</v>
      </c>
      <c r="K11" s="43"/>
      <c r="L11" s="42" t="s">
        <v>60</v>
      </c>
      <c r="M11" s="24"/>
      <c r="N11" s="24"/>
      <c r="O11" s="26" t="s">
        <v>61</v>
      </c>
      <c r="P11" s="24"/>
      <c r="Q11" s="24"/>
      <c r="R11" s="24"/>
      <c r="S11" s="24"/>
      <c r="T11" s="26" t="s">
        <v>62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</row>
    <row r="12" spans="1:100" ht="39.75" customHeight="1">
      <c r="A12" s="20"/>
      <c r="B12" s="23">
        <v>7</v>
      </c>
      <c r="C12" s="23" t="s">
        <v>63</v>
      </c>
      <c r="D12" s="32" t="s">
        <v>64</v>
      </c>
      <c r="E12" s="32">
        <v>1</v>
      </c>
      <c r="F12" s="24"/>
      <c r="G12" s="24"/>
      <c r="H12" s="24"/>
      <c r="I12" s="44" t="s">
        <v>65</v>
      </c>
      <c r="J12" s="43" t="s">
        <v>66</v>
      </c>
      <c r="K12" s="43"/>
      <c r="L12" s="45"/>
      <c r="M12" s="24"/>
      <c r="N12" s="24"/>
      <c r="O12" s="26" t="s">
        <v>67</v>
      </c>
      <c r="P12" s="24"/>
      <c r="Q12" s="24"/>
      <c r="R12" s="24"/>
      <c r="S12" s="24"/>
      <c r="T12" s="26" t="s">
        <v>68</v>
      </c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</row>
    <row r="13" spans="1:100" ht="39.75" customHeight="1">
      <c r="B13" s="33">
        <v>8</v>
      </c>
      <c r="C13" s="33" t="s">
        <v>69</v>
      </c>
      <c r="D13" s="34" t="s">
        <v>70</v>
      </c>
      <c r="E13" s="34">
        <v>2</v>
      </c>
      <c r="F13" s="24"/>
      <c r="G13" s="24"/>
      <c r="H13" s="24"/>
      <c r="I13" s="43" t="s">
        <v>71</v>
      </c>
      <c r="J13" s="43" t="s">
        <v>49</v>
      </c>
      <c r="K13" s="43"/>
      <c r="L13" s="45"/>
      <c r="M13" s="24"/>
      <c r="N13" s="24"/>
      <c r="O13" s="26" t="s">
        <v>72</v>
      </c>
      <c r="P13" s="24"/>
      <c r="Q13" s="24"/>
      <c r="R13" s="24"/>
      <c r="S13" s="24"/>
      <c r="T13" s="26" t="s">
        <v>59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</row>
    <row r="14" spans="1:100" ht="39.75" customHeight="1">
      <c r="B14" s="23">
        <v>9</v>
      </c>
      <c r="C14" s="23" t="s">
        <v>73</v>
      </c>
      <c r="D14" s="32" t="s">
        <v>74</v>
      </c>
      <c r="E14" s="32">
        <v>2</v>
      </c>
      <c r="F14" s="24"/>
      <c r="G14" s="24"/>
      <c r="H14" s="24"/>
      <c r="I14" s="44" t="s">
        <v>75</v>
      </c>
      <c r="J14" s="43" t="s">
        <v>76</v>
      </c>
      <c r="K14" s="43"/>
      <c r="L14" s="43"/>
      <c r="M14" s="24"/>
      <c r="N14" s="24"/>
      <c r="O14" s="26" t="s">
        <v>77</v>
      </c>
      <c r="P14" s="24"/>
      <c r="Q14" s="24"/>
      <c r="R14" s="24"/>
      <c r="S14" s="24"/>
      <c r="T14" s="26" t="s">
        <v>78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</row>
    <row r="15" spans="1:100" ht="39.75" customHeight="1">
      <c r="B15" s="23">
        <v>10</v>
      </c>
      <c r="C15" s="33" t="s">
        <v>79</v>
      </c>
      <c r="D15" s="34" t="s">
        <v>80</v>
      </c>
      <c r="E15" s="34">
        <v>2</v>
      </c>
      <c r="F15" s="24"/>
      <c r="G15" s="24"/>
      <c r="H15" s="24"/>
      <c r="I15" s="43" t="s">
        <v>81</v>
      </c>
      <c r="J15" s="43" t="s">
        <v>62</v>
      </c>
      <c r="K15" s="43"/>
      <c r="L15" s="45"/>
      <c r="M15" s="24"/>
      <c r="N15" s="24"/>
      <c r="O15" s="26" t="s">
        <v>82</v>
      </c>
      <c r="P15" s="24"/>
      <c r="Q15" s="24"/>
      <c r="R15" s="24"/>
      <c r="S15" s="24"/>
      <c r="T15" s="26" t="s">
        <v>83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</row>
    <row r="16" spans="1:100" ht="39.75" customHeight="1">
      <c r="B16" s="33">
        <v>11</v>
      </c>
      <c r="C16" s="23" t="s">
        <v>84</v>
      </c>
      <c r="D16" s="32" t="s">
        <v>85</v>
      </c>
      <c r="E16" s="32">
        <v>1</v>
      </c>
      <c r="F16" s="24"/>
      <c r="G16" s="24"/>
      <c r="H16" s="24"/>
      <c r="I16" s="45" t="s">
        <v>86</v>
      </c>
      <c r="J16" s="43" t="s">
        <v>87</v>
      </c>
      <c r="K16" s="43"/>
      <c r="L16" s="43"/>
      <c r="M16" s="24"/>
      <c r="N16" s="24"/>
      <c r="O16" s="26" t="s">
        <v>88</v>
      </c>
      <c r="P16" s="24"/>
      <c r="Q16" s="24"/>
      <c r="R16" s="24"/>
      <c r="S16" s="24"/>
      <c r="T16" s="26" t="s">
        <v>89</v>
      </c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</row>
    <row r="17" spans="2:61" ht="39.75" customHeight="1">
      <c r="B17" s="23">
        <v>12</v>
      </c>
      <c r="C17" s="33" t="s">
        <v>90</v>
      </c>
      <c r="D17" s="34" t="s">
        <v>91</v>
      </c>
      <c r="E17" s="34">
        <v>1</v>
      </c>
      <c r="F17" s="24"/>
      <c r="G17" s="24"/>
      <c r="H17" s="24"/>
      <c r="I17" s="43" t="s">
        <v>92</v>
      </c>
      <c r="J17" s="43" t="s">
        <v>68</v>
      </c>
      <c r="K17" s="43"/>
      <c r="L17" s="45"/>
      <c r="M17" s="24"/>
      <c r="N17" s="24"/>
      <c r="O17" s="26" t="s">
        <v>93</v>
      </c>
      <c r="P17" s="24"/>
      <c r="Q17" s="24"/>
      <c r="R17" s="24"/>
      <c r="S17" s="24"/>
      <c r="T17" s="26" t="s">
        <v>94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</row>
    <row r="18" spans="2:61" ht="39.75" customHeight="1">
      <c r="B18" s="23">
        <v>13</v>
      </c>
      <c r="C18" s="23" t="s">
        <v>95</v>
      </c>
      <c r="D18" s="32" t="s">
        <v>96</v>
      </c>
      <c r="E18" s="32">
        <v>1</v>
      </c>
      <c r="F18" s="24"/>
      <c r="G18" s="24"/>
      <c r="H18" s="24"/>
      <c r="I18" s="43" t="s">
        <v>97</v>
      </c>
      <c r="J18" s="43" t="s">
        <v>98</v>
      </c>
      <c r="K18" s="43"/>
      <c r="L18" s="43"/>
      <c r="M18" s="24"/>
      <c r="N18" s="24"/>
      <c r="O18" s="26" t="s">
        <v>99</v>
      </c>
      <c r="P18" s="24"/>
      <c r="Q18" s="24"/>
      <c r="R18" s="24"/>
      <c r="S18" s="24"/>
      <c r="T18" s="26" t="s">
        <v>87</v>
      </c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</row>
    <row r="19" spans="2:61" ht="39.75" customHeight="1">
      <c r="B19" s="33">
        <v>14</v>
      </c>
      <c r="C19" s="33" t="s">
        <v>100</v>
      </c>
      <c r="D19" s="34" t="s">
        <v>101</v>
      </c>
      <c r="E19" s="34">
        <v>1</v>
      </c>
      <c r="F19" s="24"/>
      <c r="G19" s="24"/>
      <c r="H19" s="24"/>
      <c r="I19" s="43" t="s">
        <v>102</v>
      </c>
      <c r="J19" s="43" t="s">
        <v>103</v>
      </c>
      <c r="K19" s="43"/>
      <c r="L19" s="43"/>
      <c r="M19" s="24"/>
      <c r="N19" s="24"/>
      <c r="O19" s="24" t="s">
        <v>104</v>
      </c>
      <c r="P19" s="24"/>
      <c r="Q19" s="24"/>
      <c r="R19" s="24"/>
      <c r="S19" s="24"/>
      <c r="T19" s="26" t="s">
        <v>105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</row>
    <row r="20" spans="2:61" ht="39.75" customHeight="1">
      <c r="B20" s="23">
        <v>15</v>
      </c>
      <c r="C20" s="23" t="s">
        <v>106</v>
      </c>
      <c r="D20" s="32" t="s">
        <v>107</v>
      </c>
      <c r="E20" s="32">
        <v>1</v>
      </c>
      <c r="F20" s="24"/>
      <c r="G20" s="24"/>
      <c r="H20" s="24"/>
      <c r="I20" s="45" t="s">
        <v>108</v>
      </c>
      <c r="J20" s="43" t="s">
        <v>78</v>
      </c>
      <c r="K20" s="43"/>
      <c r="L20" s="43"/>
      <c r="M20" s="24"/>
      <c r="N20" s="24"/>
      <c r="O20" s="24" t="s">
        <v>109</v>
      </c>
      <c r="P20" s="24"/>
      <c r="Q20" s="24"/>
      <c r="R20" s="24"/>
      <c r="S20" s="24"/>
      <c r="T20" s="26" t="s">
        <v>110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</row>
    <row r="21" spans="2:61" ht="39.75" customHeight="1">
      <c r="B21" s="23">
        <v>16</v>
      </c>
      <c r="C21" s="33" t="s">
        <v>111</v>
      </c>
      <c r="D21" s="34" t="s">
        <v>112</v>
      </c>
      <c r="E21" s="34">
        <v>2</v>
      </c>
      <c r="F21" s="24"/>
      <c r="G21" s="24"/>
      <c r="H21" s="24"/>
      <c r="I21" s="45"/>
      <c r="J21" s="43" t="s">
        <v>42</v>
      </c>
      <c r="K21" s="43"/>
      <c r="L21" s="45"/>
      <c r="M21" s="24"/>
      <c r="N21" s="24"/>
      <c r="O21" s="24" t="s">
        <v>113</v>
      </c>
      <c r="P21" s="24"/>
      <c r="Q21" s="24"/>
      <c r="R21" s="24"/>
      <c r="S21" s="24"/>
      <c r="T21" s="26" t="s">
        <v>114</v>
      </c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</row>
    <row r="22" spans="2:61" ht="39.75" customHeight="1">
      <c r="B22" s="33">
        <v>17</v>
      </c>
      <c r="C22" s="23" t="s">
        <v>115</v>
      </c>
      <c r="D22" s="32" t="s">
        <v>107</v>
      </c>
      <c r="E22" s="32">
        <v>1</v>
      </c>
      <c r="F22" s="24"/>
      <c r="G22" s="24"/>
      <c r="H22" s="24"/>
      <c r="I22" s="45"/>
      <c r="J22" s="43" t="s">
        <v>116</v>
      </c>
      <c r="K22" s="43"/>
      <c r="L22" s="45"/>
      <c r="M22" s="24"/>
      <c r="N22" s="24"/>
      <c r="O22" s="24"/>
      <c r="P22" s="24"/>
      <c r="Q22" s="24"/>
      <c r="R22" s="24"/>
      <c r="S22" s="24"/>
      <c r="T22" s="26" t="s">
        <v>117</v>
      </c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</row>
    <row r="23" spans="2:61" ht="39.75" customHeight="1">
      <c r="B23" s="23">
        <v>18</v>
      </c>
      <c r="C23" s="33" t="s">
        <v>118</v>
      </c>
      <c r="D23" s="34" t="s">
        <v>119</v>
      </c>
      <c r="E23" s="34">
        <v>1</v>
      </c>
      <c r="F23" s="24"/>
      <c r="G23" s="24"/>
      <c r="H23" s="24"/>
      <c r="I23" s="45"/>
      <c r="J23" s="43" t="s">
        <v>120</v>
      </c>
      <c r="K23" s="43"/>
      <c r="L23" s="45"/>
      <c r="M23" s="24"/>
      <c r="N23" s="24"/>
      <c r="O23" s="24"/>
      <c r="P23" s="24"/>
      <c r="Q23" s="24"/>
      <c r="R23" s="24"/>
      <c r="S23" s="24"/>
      <c r="T23" s="26" t="s">
        <v>121</v>
      </c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</row>
    <row r="24" spans="2:61" ht="39.75" customHeight="1">
      <c r="B24" s="23">
        <v>19</v>
      </c>
      <c r="C24" s="23" t="s">
        <v>122</v>
      </c>
      <c r="D24" s="32" t="s">
        <v>123</v>
      </c>
      <c r="E24" s="32">
        <v>1</v>
      </c>
      <c r="F24" s="24"/>
      <c r="G24" s="24"/>
      <c r="H24" s="24"/>
      <c r="I24" s="45"/>
      <c r="J24" s="43" t="s">
        <v>94</v>
      </c>
      <c r="K24" s="43"/>
      <c r="L24" s="45"/>
      <c r="M24" s="24"/>
      <c r="N24" s="24"/>
      <c r="O24" s="24"/>
      <c r="P24" s="24"/>
      <c r="Q24" s="24"/>
      <c r="R24" s="24"/>
      <c r="S24" s="24"/>
      <c r="T24" s="26" t="s">
        <v>124</v>
      </c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</row>
    <row r="25" spans="2:61" ht="39.75" customHeight="1">
      <c r="B25" s="33">
        <v>20</v>
      </c>
      <c r="C25" s="23" t="s">
        <v>125</v>
      </c>
      <c r="D25" s="32" t="s">
        <v>126</v>
      </c>
      <c r="E25" s="32">
        <v>3</v>
      </c>
      <c r="F25" s="24"/>
      <c r="G25" s="24"/>
      <c r="H25" s="24"/>
      <c r="I25" s="45"/>
      <c r="J25" s="43" t="s">
        <v>127</v>
      </c>
      <c r="K25" s="43"/>
      <c r="L25" s="45"/>
      <c r="M25" s="24"/>
      <c r="N25" s="24"/>
      <c r="O25" s="24"/>
      <c r="P25" s="24"/>
      <c r="Q25" s="24"/>
      <c r="R25" s="24"/>
      <c r="S25" s="24"/>
      <c r="T25" s="26" t="s">
        <v>120</v>
      </c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</row>
    <row r="26" spans="2:61" ht="39.75" customHeight="1">
      <c r="B26" s="23">
        <v>21</v>
      </c>
      <c r="C26" s="33" t="s">
        <v>128</v>
      </c>
      <c r="D26" s="34" t="s">
        <v>129</v>
      </c>
      <c r="E26" s="34">
        <v>2</v>
      </c>
      <c r="F26" s="24"/>
      <c r="G26" s="24"/>
      <c r="H26" s="24"/>
      <c r="I26" s="45"/>
      <c r="J26" s="43" t="s">
        <v>130</v>
      </c>
      <c r="K26" s="43"/>
      <c r="L26" s="45"/>
      <c r="M26" s="24"/>
      <c r="N26" s="24"/>
      <c r="O26" s="24"/>
      <c r="P26" s="24"/>
      <c r="Q26" s="24"/>
      <c r="R26" s="24"/>
      <c r="S26" s="24"/>
      <c r="T26" s="26" t="s">
        <v>131</v>
      </c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</row>
    <row r="27" spans="2:61" ht="39.75" customHeight="1">
      <c r="B27" s="23">
        <v>22</v>
      </c>
      <c r="C27" s="23" t="s">
        <v>132</v>
      </c>
      <c r="D27" s="32" t="s">
        <v>133</v>
      </c>
      <c r="E27" s="32">
        <v>4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6" t="s">
        <v>4</v>
      </c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2:61" ht="39.75" customHeight="1" thickBot="1">
      <c r="B28" s="33">
        <v>23</v>
      </c>
      <c r="C28" s="35" t="s">
        <v>134</v>
      </c>
      <c r="D28" s="36" t="s">
        <v>135</v>
      </c>
      <c r="E28" s="36">
        <v>2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41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2:61" ht="39.75" customHeight="1">
      <c r="B29" s="37" t="s">
        <v>8</v>
      </c>
      <c r="C29" s="30" t="s">
        <v>9</v>
      </c>
      <c r="D29" s="30" t="s">
        <v>136</v>
      </c>
      <c r="E29" s="38" t="s">
        <v>2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2:61" ht="39.75" customHeight="1">
      <c r="B30" s="84">
        <v>1</v>
      </c>
      <c r="C30" s="23" t="s">
        <v>137</v>
      </c>
      <c r="D30" s="84" t="s">
        <v>138</v>
      </c>
      <c r="E30" s="32" t="s">
        <v>139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2:61" ht="39.75" customHeight="1">
      <c r="B31" s="84"/>
      <c r="C31" s="39" t="s">
        <v>140</v>
      </c>
      <c r="D31" s="84"/>
      <c r="E31" s="32" t="s">
        <v>141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2:61" ht="39.75" customHeight="1">
      <c r="B32" s="85">
        <v>2</v>
      </c>
      <c r="C32" s="40" t="s">
        <v>142</v>
      </c>
      <c r="D32" s="85" t="s">
        <v>143</v>
      </c>
      <c r="E32" s="34" t="s">
        <v>139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2:61" ht="39.75" customHeight="1">
      <c r="B33" s="85"/>
      <c r="C33" s="40" t="s">
        <v>144</v>
      </c>
      <c r="D33" s="85"/>
      <c r="E33" s="34" t="s">
        <v>141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</row>
    <row r="34" spans="2:61" ht="39.75" customHeight="1">
      <c r="B34" s="84">
        <v>3</v>
      </c>
      <c r="C34" s="23" t="s">
        <v>145</v>
      </c>
      <c r="D34" s="84" t="s">
        <v>146</v>
      </c>
      <c r="E34" s="32" t="s">
        <v>139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</row>
    <row r="35" spans="2:61" ht="39.75" customHeight="1">
      <c r="B35" s="84"/>
      <c r="C35" s="39" t="s">
        <v>147</v>
      </c>
      <c r="D35" s="84"/>
      <c r="E35" s="32" t="s">
        <v>141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</row>
    <row r="36" spans="2:61" ht="26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</row>
    <row r="37" spans="2:61" ht="26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</row>
    <row r="38" spans="2:61" ht="26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</row>
    <row r="39" spans="2:61" ht="26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</row>
    <row r="40" spans="2:61" ht="26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</row>
    <row r="41" spans="2:61" ht="26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</row>
    <row r="42" spans="2:61" ht="26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</row>
    <row r="43" spans="2:61" ht="26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</row>
    <row r="44" spans="2:61" ht="26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</row>
    <row r="45" spans="2:61" ht="26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</row>
    <row r="46" spans="2:61" ht="26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</row>
    <row r="47" spans="2:61" ht="26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</row>
    <row r="48" spans="2:61" ht="14.5">
      <c r="C48" s="1"/>
    </row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/>
    <row r="62" ht="14.5"/>
    <row r="63" ht="14.5"/>
    <row r="64" ht="14.5"/>
    <row r="65" ht="14.5"/>
    <row r="66" ht="14.5"/>
    <row r="67" ht="14.5"/>
    <row r="68" ht="14.5"/>
  </sheetData>
  <mergeCells count="6">
    <mergeCell ref="D34:D35"/>
    <mergeCell ref="B30:B31"/>
    <mergeCell ref="D30:D31"/>
    <mergeCell ref="B32:B33"/>
    <mergeCell ref="D32:D33"/>
    <mergeCell ref="B34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DD0E-0CB0-42F9-A419-92FA69B8660B}">
  <dimension ref="A1:N29"/>
  <sheetViews>
    <sheetView workbookViewId="0">
      <selection activeCell="E39" sqref="E39"/>
    </sheetView>
  </sheetViews>
  <sheetFormatPr defaultRowHeight="14.5"/>
  <cols>
    <col min="3" max="3" width="39.453125" customWidth="1"/>
    <col min="4" max="4" width="88.81640625" customWidth="1"/>
    <col min="5" max="5" width="18.54296875" customWidth="1"/>
    <col min="10" max="10" width="6.26953125" customWidth="1"/>
    <col min="11" max="11" width="19.453125" customWidth="1"/>
    <col min="12" max="12" width="24" customWidth="1"/>
  </cols>
  <sheetData>
    <row r="1" spans="1:14">
      <c r="A1" s="63"/>
    </row>
    <row r="4" spans="1:14" ht="23">
      <c r="C4" t="s">
        <v>0</v>
      </c>
      <c r="D4" s="5" t="s">
        <v>1</v>
      </c>
      <c r="E4" s="8" t="s">
        <v>9</v>
      </c>
      <c r="H4" t="s">
        <v>3</v>
      </c>
      <c r="K4" s="2" t="s">
        <v>4</v>
      </c>
      <c r="L4" t="s">
        <v>5</v>
      </c>
      <c r="N4" t="s">
        <v>102</v>
      </c>
    </row>
    <row r="5" spans="1:14" ht="22.5">
      <c r="C5" s="3" t="s">
        <v>97</v>
      </c>
      <c r="D5" s="6" t="s">
        <v>19</v>
      </c>
      <c r="E5" s="9" t="s">
        <v>18</v>
      </c>
      <c r="H5" t="s">
        <v>219</v>
      </c>
      <c r="K5" s="2" t="s">
        <v>25</v>
      </c>
      <c r="L5" t="s">
        <v>215</v>
      </c>
    </row>
    <row r="6" spans="1:14" ht="22.5">
      <c r="C6" t="s">
        <v>28</v>
      </c>
      <c r="D6" s="7" t="s">
        <v>27</v>
      </c>
      <c r="E6" s="10" t="s">
        <v>26</v>
      </c>
      <c r="K6" s="2" t="s">
        <v>38</v>
      </c>
      <c r="L6" t="s">
        <v>220</v>
      </c>
    </row>
    <row r="7" spans="1:14" ht="22.5">
      <c r="C7" t="s">
        <v>92</v>
      </c>
      <c r="D7" s="6" t="s">
        <v>36</v>
      </c>
      <c r="E7" s="11" t="s">
        <v>35</v>
      </c>
      <c r="K7" s="2" t="s">
        <v>34</v>
      </c>
      <c r="L7" t="s">
        <v>221</v>
      </c>
    </row>
    <row r="8" spans="1:14" ht="22.5">
      <c r="C8" t="s">
        <v>37</v>
      </c>
      <c r="D8" s="7" t="s">
        <v>44</v>
      </c>
      <c r="E8" s="10" t="s">
        <v>43</v>
      </c>
      <c r="K8" s="2" t="s">
        <v>53</v>
      </c>
      <c r="L8" t="s">
        <v>222</v>
      </c>
    </row>
    <row r="9" spans="1:14" ht="22.5">
      <c r="C9" t="s">
        <v>81</v>
      </c>
      <c r="D9" s="6" t="s">
        <v>51</v>
      </c>
      <c r="E9" s="11" t="s">
        <v>50</v>
      </c>
      <c r="K9" s="2" t="s">
        <v>59</v>
      </c>
      <c r="L9" t="s">
        <v>193</v>
      </c>
    </row>
    <row r="10" spans="1:14" ht="22.5">
      <c r="C10" t="s">
        <v>45</v>
      </c>
      <c r="D10" s="7" t="s">
        <v>57</v>
      </c>
      <c r="E10" s="10" t="s">
        <v>56</v>
      </c>
      <c r="K10" s="2" t="s">
        <v>66</v>
      </c>
      <c r="L10" t="s">
        <v>189</v>
      </c>
    </row>
    <row r="11" spans="1:14" ht="22.5">
      <c r="C11" t="s">
        <v>223</v>
      </c>
      <c r="D11" s="6" t="s">
        <v>64</v>
      </c>
      <c r="E11" s="11" t="s">
        <v>63</v>
      </c>
      <c r="K11" s="2" t="s">
        <v>49</v>
      </c>
      <c r="L11" t="s">
        <v>224</v>
      </c>
    </row>
    <row r="12" spans="1:14" ht="22.5">
      <c r="C12" t="s">
        <v>52</v>
      </c>
      <c r="D12" s="7" t="s">
        <v>70</v>
      </c>
      <c r="E12" s="10" t="s">
        <v>69</v>
      </c>
      <c r="K12" s="1" t="s">
        <v>76</v>
      </c>
      <c r="L12" t="s">
        <v>225</v>
      </c>
    </row>
    <row r="13" spans="1:14" ht="22.5">
      <c r="C13" t="s">
        <v>75</v>
      </c>
      <c r="D13" s="6" t="s">
        <v>74</v>
      </c>
      <c r="E13" s="11" t="s">
        <v>73</v>
      </c>
      <c r="K13" s="1" t="s">
        <v>62</v>
      </c>
      <c r="L13" t="s">
        <v>226</v>
      </c>
    </row>
    <row r="14" spans="1:14" ht="22.5">
      <c r="C14" t="s">
        <v>58</v>
      </c>
      <c r="D14" s="7" t="s">
        <v>80</v>
      </c>
      <c r="E14" s="10" t="s">
        <v>79</v>
      </c>
      <c r="K14" s="1" t="s">
        <v>87</v>
      </c>
      <c r="L14" t="s">
        <v>227</v>
      </c>
    </row>
    <row r="15" spans="1:14" ht="22.5">
      <c r="C15" t="s">
        <v>71</v>
      </c>
      <c r="D15" s="6" t="s">
        <v>85</v>
      </c>
      <c r="E15" s="11" t="s">
        <v>84</v>
      </c>
      <c r="K15" s="1" t="s">
        <v>68</v>
      </c>
      <c r="L15" t="s">
        <v>228</v>
      </c>
    </row>
    <row r="16" spans="1:14" ht="22.5">
      <c r="C16" t="s">
        <v>65</v>
      </c>
      <c r="D16" s="7" t="s">
        <v>91</v>
      </c>
      <c r="E16" s="10" t="s">
        <v>90</v>
      </c>
      <c r="K16" s="1" t="s">
        <v>98</v>
      </c>
      <c r="L16" t="s">
        <v>229</v>
      </c>
    </row>
    <row r="17" spans="3:12" ht="22.5">
      <c r="C17" t="s">
        <v>108</v>
      </c>
      <c r="D17" s="6" t="s">
        <v>96</v>
      </c>
      <c r="E17" s="11" t="s">
        <v>95</v>
      </c>
      <c r="K17" s="1" t="s">
        <v>103</v>
      </c>
      <c r="L17" t="s">
        <v>230</v>
      </c>
    </row>
    <row r="18" spans="3:12" ht="22.5">
      <c r="D18" s="7" t="s">
        <v>101</v>
      </c>
      <c r="E18" s="10" t="s">
        <v>100</v>
      </c>
      <c r="K18" s="1" t="s">
        <v>78</v>
      </c>
      <c r="L18" t="s">
        <v>231</v>
      </c>
    </row>
    <row r="19" spans="3:12" ht="22.5">
      <c r="D19" s="6" t="s">
        <v>107</v>
      </c>
      <c r="E19" s="11" t="s">
        <v>106</v>
      </c>
      <c r="K19" s="1" t="s">
        <v>42</v>
      </c>
      <c r="L19" t="s">
        <v>208</v>
      </c>
    </row>
    <row r="20" spans="3:12" ht="22.5">
      <c r="D20" s="7" t="s">
        <v>112</v>
      </c>
      <c r="E20" s="10" t="s">
        <v>111</v>
      </c>
      <c r="K20" s="2" t="s">
        <v>116</v>
      </c>
    </row>
    <row r="21" spans="3:12" ht="22.5">
      <c r="D21" s="6" t="s">
        <v>232</v>
      </c>
      <c r="E21" s="11" t="s">
        <v>134</v>
      </c>
      <c r="K21" s="2" t="s">
        <v>120</v>
      </c>
    </row>
    <row r="22" spans="3:12" ht="22.5">
      <c r="D22" s="7" t="s">
        <v>119</v>
      </c>
      <c r="E22" s="10" t="s">
        <v>118</v>
      </c>
      <c r="K22" s="2" t="s">
        <v>94</v>
      </c>
    </row>
    <row r="23" spans="3:12" ht="22.5">
      <c r="D23" s="6" t="s">
        <v>123</v>
      </c>
      <c r="E23" s="11" t="s">
        <v>122</v>
      </c>
      <c r="K23" s="2" t="s">
        <v>127</v>
      </c>
    </row>
    <row r="24" spans="3:12" ht="22.5">
      <c r="D24" s="7" t="s">
        <v>233</v>
      </c>
      <c r="E24" s="10" t="s">
        <v>125</v>
      </c>
      <c r="K24" s="2" t="s">
        <v>121</v>
      </c>
    </row>
    <row r="25" spans="3:12" ht="22.5">
      <c r="D25" s="6" t="s">
        <v>234</v>
      </c>
      <c r="E25" s="11" t="s">
        <v>128</v>
      </c>
      <c r="K25" s="2" t="s">
        <v>235</v>
      </c>
    </row>
    <row r="26" spans="3:12" ht="45">
      <c r="D26" s="7" t="s">
        <v>236</v>
      </c>
      <c r="E26" s="10" t="s">
        <v>132</v>
      </c>
      <c r="K26" s="2" t="s">
        <v>105</v>
      </c>
    </row>
    <row r="27" spans="3:12" ht="22.5">
      <c r="D27" s="6" t="s">
        <v>237</v>
      </c>
      <c r="E27" s="11" t="s">
        <v>238</v>
      </c>
    </row>
    <row r="28" spans="3:12" ht="45">
      <c r="D28" s="7" t="s">
        <v>239</v>
      </c>
      <c r="E28" s="10" t="s">
        <v>240</v>
      </c>
    </row>
    <row r="29" spans="3:12" ht="22.5">
      <c r="D29" s="6" t="s">
        <v>241</v>
      </c>
      <c r="E29" s="11" t="s">
        <v>242</v>
      </c>
    </row>
  </sheetData>
  <dataValidations count="1">
    <dataValidation type="list" allowBlank="1" showInputMessage="1" showErrorMessage="1" sqref="AC4" xr:uid="{D71818AD-02A8-4CA6-8EE8-598961EE36C6}">
      <formula1>"MORNING,EVENING"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OHS 1</vt:lpstr>
      <vt:lpstr>Inputs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Zeeshan khan</dc:creator>
  <cp:keywords/>
  <dc:description/>
  <cp:lastModifiedBy>Yaser Salem Al-Zahrani</cp:lastModifiedBy>
  <cp:revision/>
  <dcterms:created xsi:type="dcterms:W3CDTF">2026-03-30T11:27:46Z</dcterms:created>
  <dcterms:modified xsi:type="dcterms:W3CDTF">2026-07-29T20:58:54Z</dcterms:modified>
  <cp:category/>
  <cp:contentStatus/>
</cp:coreProperties>
</file>